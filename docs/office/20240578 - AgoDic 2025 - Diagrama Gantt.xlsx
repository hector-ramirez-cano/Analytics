
<file path=[Content_Types].xml><?xml version="1.0" encoding="utf-8"?>
<Types xmlns="http://schemas.openxmlformats.org/package/2006/content-types">
  <Default Extension="xml" ContentType="application/xml"/>
  <Default Extension="svg" ContentType="image/svg+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4"/>
  </sheets>
  <definedNames>
    <definedName name="_xlnm.Print_Area" localSheetId="0">Hoja1!$A$1:$AT$39</definedName>
  </definedName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<sst xmlns="http://schemas.openxmlformats.org/spreadsheetml/2006/main" count="57" uniqueCount="57">
  <si>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 xml:space="preserve">Octavio Román Villa Melgoza </t>
  </si>
  <si>
    <t>Fase</t>
  </si>
  <si>
    <t>N°</t>
  </si>
  <si>
    <t>ACTIVIDADES</t>
  </si>
  <si>
    <t>PERIODO</t>
  </si>
  <si>
    <t xml:space="preserve">% Cumpl.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</si>
  <si>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</si>
  <si>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</si>
  <si>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</si>
  <si>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</si>
  <si>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</si>
  <si>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</si>
  <si>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</si>
  <si>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</si>
  <si>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 xml:space="preserve">PERSONAS QUE INTERVINIERON EN LA EJECUCIÓN DE LA ACTIVIDAD</t>
  </si>
  <si>
    <t xml:space="preserve">OBSERVACIONES AL SEGUIMIENTO O CIERRE DE ACCIONES</t>
  </si>
  <si>
    <t xml:space="preserve"> MODELO MÉTODO O METODOLOGÍA</t>
  </si>
  <si>
    <t>Ini.</t>
  </si>
  <si>
    <t>Fin.</t>
  </si>
  <si>
    <t>Realizadas</t>
  </si>
  <si>
    <t>Pendientes</t>
  </si>
  <si>
    <t>Aplazadas</t>
  </si>
  <si>
    <t>REQUISITOS</t>
  </si>
  <si>
    <t xml:space="preserve">DETALLADO DE HISTORIAS DE USUARIO</t>
  </si>
  <si>
    <t>OK</t>
  </si>
  <si>
    <t xml:space="preserve">INVENTARIADO DE DISPOSITIVOS DE INTERÉS</t>
  </si>
  <si>
    <t>AP</t>
  </si>
  <si>
    <t xml:space="preserve">CLASIFICACIÓN DE INVENTARIO POR TIPO DE DISPOSITIVO</t>
  </si>
  <si>
    <t xml:space="preserve">DETALLADO DE MÉTRICAS POR CLASE</t>
  </si>
  <si>
    <t xml:space="preserve">DETALLADO DE UMBRALES OPERATIVOS IDEALES</t>
  </si>
  <si>
    <t xml:space="preserve">DETALLADO DE PONDERACIONES POR MÉTRICA, POR CLASE</t>
  </si>
  <si>
    <t xml:space="preserve">DETALLADO DE TECNOLOGÍAS A UTILIZAR</t>
  </si>
  <si>
    <t xml:space="preserve">DISEÑO Y CONSTRUCCIÓN</t>
  </si>
  <si>
    <t xml:space="preserve">DISEÑO DE PROGRAMA - BACKEND</t>
  </si>
  <si>
    <t xml:space="preserve">DISEÑO DE PROGRAMA - FRONTEND</t>
  </si>
  <si>
    <t xml:space="preserve">DESARROLLO - XP</t>
  </si>
  <si>
    <t>Ok</t>
  </si>
  <si>
    <t xml:space="preserve">ESCRITURA Y TESTING PLAYBOOKS - XP</t>
  </si>
  <si>
    <t>P</t>
  </si>
  <si>
    <t xml:space="preserve">PROGRAMACIÓN BACKEND - XP</t>
  </si>
  <si>
    <t xml:space="preserve">PROGRAMACIÓN FRONTEND - XP</t>
  </si>
  <si>
    <t xml:space="preserve">FASE DE PRUEBAS</t>
  </si>
  <si>
    <t xml:space="preserve">PRUEBAS DE SOFTWARE</t>
  </si>
  <si>
    <t xml:space="preserve">VALIDAR QUE EL PRODUCTO CUMPLA CON LOS REQUISITOS</t>
  </si>
  <si>
    <t>INSTALACIÓN</t>
  </si>
  <si>
    <t xml:space="preserve">REALIZAR LA INSTALACIÓN Y PONERLO A PRODUCCIÓN</t>
  </si>
  <si>
    <t xml:space="preserve">REALIZADO DE DOCUMENTACIÓN TÉCNICA</t>
  </si>
  <si>
    <t xml:space="preserve">REALIZADO DE MANUALES</t>
  </si>
  <si>
    <t xml:space="preserve">SOPORTE  SEGUIMIENTO</t>
  </si>
  <si>
    <t xml:space="preserve">DAR SEGUIMIENTO Y SOPORTE SI ES REQUERIDO </t>
  </si>
  <si>
    <t>ENTREGA</t>
  </si>
  <si>
    <t xml:space="preserve">Act. Totales</t>
  </si>
  <si>
    <t xml:space="preserve">OK= Realizadas</t>
  </si>
  <si>
    <t>%Total</t>
  </si>
  <si>
    <t xml:space="preserve">P= Pendientes</t>
  </si>
  <si>
    <t xml:space="preserve">A=  Aplazadas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</si>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</sst>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32">
    <font>
      <sz val="11.000000"/>
      <color theme="1"/>
      <name val="Calibri"/>
      <scheme val="minor"/>
    </font>
    <font>
      <u/>
      <sz val="10.000000"/>
      <color indexed="4"/>
      <name val="Arial"/>
    </font>
    <font>
      <sz val="10.000000"/>
      <name val="Arial"/>
    </font>
    <font>
      <b/>
      <sz val="10.000000"/>
      <name val="Arial"/>
    </font>
    <font>
      <sz val="8.000000"/>
      <name val="Arial"/>
    </font>
    <font>
      <sz val="11.000000"/>
      <name val="Arial"/>
    </font>
    <font>
      <b/>
      <sz val="8.000000"/>
      <name val="Arial"/>
    </font>
    <font>
      <b/>
      <sz val="9.000000"/>
      <name val="Arial"/>
    </font>
    <font>
      <b/>
      <sz val="8.000000"/>
      <name val="Bodoni MT Condensed"/>
    </font>
    <font>
      <b/>
      <sz val="10.000000"/>
      <color indexed="4"/>
      <name val="Arial"/>
    </font>
    <font>
      <sz val="8.000000"/>
      <name val="Bodoni MT Condensed"/>
    </font>
    <font>
      <sz val="7.500000"/>
      <name val="Bodoni MT Condensed"/>
    </font>
    <font>
      <sz val="8.000000"/>
      <color theme="1"/>
      <name val="Calibri"/>
      <scheme val="minor"/>
    </font>
    <font>
      <sz val="8.000000"/>
      <color indexed="2"/>
      <name val="Bodoni MT Condensed"/>
    </font>
    <font>
      <sz val="10.000000"/>
      <color indexed="4"/>
      <name val="Arial"/>
    </font>
    <font>
      <sz val="9.000000"/>
      <name val="Arial"/>
    </font>
    <font>
      <b/>
      <sz val="12.000000"/>
      <name val="Arial"/>
    </font>
    <font>
      <sz val="8.000000"/>
      <name val="Bodoni MT"/>
    </font>
    <font>
      <sz val="11.000000"/>
      <color theme="1"/>
      <name val="Bodoni MT"/>
    </font>
    <font>
      <b/>
      <sz val="12.000000"/>
      <name val="Bodoni MT"/>
    </font>
    <font>
      <b/>
      <sz val="10.000000"/>
      <name val="Bodoni MT"/>
    </font>
    <font>
      <b/>
      <sz val="8.000000"/>
      <name val="Bodoni MT"/>
    </font>
    <font>
      <b/>
      <sz val="8.000000"/>
      <color indexed="65"/>
      <name val="Bodoni MT"/>
    </font>
    <font>
      <b/>
      <sz val="7.500000"/>
      <color indexed="65"/>
      <name val="Bodoni MT"/>
    </font>
    <font>
      <b/>
      <sz val="12.000000"/>
      <color theme="0"/>
      <name val="Bodoni MT"/>
    </font>
    <font>
      <b/>
      <sz val="11.000000"/>
      <color indexed="65"/>
      <name val="Bodoni MT"/>
    </font>
    <font>
      <b/>
      <sz val="10.000000"/>
      <color indexed="65"/>
      <name val="Bodoni MT"/>
    </font>
    <font>
      <b/>
      <sz val="11.000000"/>
      <color theme="0"/>
      <name val="Bodoni MT"/>
    </font>
    <font>
      <sz val="10.000000"/>
      <name val="Bodoni MT"/>
    </font>
    <font>
      <b/>
      <sz val="12.000000"/>
      <color indexed="65"/>
      <name val="Bodoni MT"/>
    </font>
    <font>
      <b/>
      <sz val="8.000000"/>
      <color indexed="65"/>
      <name val="Arial Narrow"/>
    </font>
    <font>
      <sz val="14.000000"/>
      <name val="Arial"/>
    </font>
  </fonts>
  <fills count="29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5"/>
      </patternFill>
    </fill>
    <fill>
      <patternFill patternType="darkGray"/>
    </fill>
    <fill>
      <patternFill patternType="solid">
        <fgColor rgb="FF66CCFF"/>
      </patternFill>
    </fill>
    <fill>
      <patternFill patternType="solid">
        <fgColor indexed="2"/>
      </patternFill>
    </fill>
    <fill>
      <patternFill patternType="solid">
        <fgColor rgb="FF00B0F0"/>
      </patternFill>
    </fill>
    <fill>
      <patternFill patternType="solid">
        <fgColor theme="0"/>
      </patternFill>
    </fill>
    <fill>
      <patternFill patternType="solid">
        <fgColor indexed="40"/>
      </patternFill>
    </fill>
    <fill>
      <patternFill patternType="gray0625">
        <bgColor rgb="FF00B0F0"/>
      </patternFill>
    </fill>
    <fill>
      <patternFill patternType="gray0625">
        <bgColor indexed="5"/>
      </patternFill>
    </fill>
    <fill>
      <patternFill patternType="darkGray">
        <bgColor rgb="FFFF3300"/>
      </patternFill>
    </fill>
    <fill>
      <patternFill patternType="solid">
        <fgColor rgb="FFFF3300"/>
      </patternFill>
    </fill>
    <fill>
      <patternFill patternType="solid">
        <fgColor theme="6" tint="0.39997558519241921"/>
        <bgColor theme="6" tint="0.39997558519241921"/>
      </patternFill>
    </fill>
    <fill>
      <patternFill patternType="darkGrid"/>
    </fill>
    <fill>
      <patternFill patternType="solid">
        <fgColor indexed="22"/>
      </patternFill>
    </fill>
    <fill>
      <patternFill patternType="darkGrid">
        <bgColor rgb="FF00B0F0"/>
      </patternFill>
    </fill>
    <fill>
      <patternFill patternType="darkGrid">
        <bgColor indexed="5"/>
      </patternFill>
    </fill>
    <fill>
      <patternFill patternType="darkGrid">
        <bgColor rgb="FFFF3300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indexed="5"/>
        <bgColor indexed="5"/>
      </patternFill>
    </fill>
    <fill>
      <patternFill patternType="darkGray">
        <bgColor indexed="2"/>
      </patternFill>
    </fill>
    <fill>
      <patternFill patternType="darkGrid">
        <bgColor indexed="2"/>
      </patternFill>
    </fill>
    <fill>
      <patternFill patternType="gray0625">
        <bgColor indexed="2"/>
      </patternFill>
    </fill>
    <fill>
      <patternFill patternType="solid">
        <fgColor indexed="4"/>
      </patternFill>
    </fill>
    <fill>
      <patternFill patternType="darkGray">
        <bgColor indexed="65"/>
      </patternFill>
    </fill>
    <fill>
      <patternFill patternType="solid">
        <fgColor indexed="48"/>
      </patternFill>
    </fill>
  </fills>
  <borders count="42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double">
        <color auto="1"/>
      </left>
      <right style="none"/>
      <top style="none"/>
      <bottom style="medium">
        <color auto="1"/>
      </bottom>
      <diagonal style="none"/>
    </border>
    <border>
      <left style="none"/>
      <right style="double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double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double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6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9" applyNumberFormat="1" applyFont="0" applyFill="0" applyBorder="0" applyProtection="0"/>
    <xf fontId="2" fillId="0" borderId="0" numFmtId="9" applyNumberFormat="1" applyFont="0" applyFill="0" applyBorder="0" applyProtection="0"/>
  </cellStyleXfs>
  <cellXfs count="162">
    <xf fontId="0" fillId="0" borderId="0" numFmtId="0" xfId="0"/>
    <xf fontId="3" fillId="2" borderId="0" numFmtId="0" xfId="2" applyFont="1" applyFill="1" applyAlignment="1">
      <alignment horizontal="left" vertical="center"/>
    </xf>
    <xf fontId="4" fillId="2" borderId="0" numFmtId="0" xfId="2" applyFont="1" applyFill="1"/>
    <xf fontId="5" fillId="2" borderId="0" numFmtId="0" xfId="2" applyFont="1" applyFill="1"/>
    <xf fontId="2" fillId="0" borderId="0" numFmtId="0" xfId="2" applyFont="1"/>
    <xf fontId="2" fillId="2" borderId="0" numFmtId="0" xfId="2" applyFont="1" applyFill="1"/>
    <xf fontId="3" fillId="2" borderId="0" numFmtId="0" xfId="2" applyFont="1" applyFill="1"/>
    <xf fontId="6" fillId="3" borderId="1" numFmtId="0" xfId="2" applyFont="1" applyFill="1" applyBorder="1" applyAlignment="1">
      <alignment horizontal="center" vertical="center" wrapText="1"/>
    </xf>
    <xf fontId="6" fillId="3" borderId="2" numFmtId="0" xfId="2" applyFont="1" applyFill="1" applyBorder="1" applyAlignment="1">
      <alignment horizontal="center" vertical="center"/>
    </xf>
    <xf fontId="7" fillId="3" borderId="3" numFmtId="0" xfId="2" applyFont="1" applyFill="1" applyBorder="1" applyAlignment="1">
      <alignment horizontal="center" vertical="center"/>
    </xf>
    <xf fontId="2" fillId="4" borderId="4" numFmtId="0" xfId="2" applyFont="1" applyFill="1" applyBorder="1" applyAlignment="1">
      <alignment horizontal="center" vertical="center"/>
    </xf>
    <xf fontId="8" fillId="3" borderId="5" numFmtId="49" xfId="2" applyNumberFormat="1" applyFont="1" applyFill="1" applyBorder="1" applyAlignment="1">
      <alignment horizontal="center" vertical="center"/>
    </xf>
    <xf fontId="3" fillId="3" borderId="5" numFmtId="0" xfId="2" applyFont="1" applyFill="1" applyBorder="1" applyAlignment="1">
      <alignment horizontal="center" vertical="center"/>
    </xf>
    <xf fontId="6" fillId="5" borderId="2" numFmtId="0" xfId="2" applyFont="1" applyFill="1" applyBorder="1" applyAlignment="1">
      <alignment horizontal="center" vertical="center" wrapText="1"/>
    </xf>
    <xf fontId="2" fillId="4" borderId="6" numFmtId="0" xfId="2" applyFont="1" applyFill="1" applyBorder="1" applyAlignment="1">
      <alignment horizontal="center" vertical="center"/>
    </xf>
    <xf fontId="6" fillId="6" borderId="6" numFmtId="0" xfId="0" applyFont="1" applyFill="1" applyBorder="1" applyAlignment="1">
      <alignment horizontal="centerContinuous" vertical="center"/>
    </xf>
    <xf fontId="6" fillId="6" borderId="7" numFmtId="0" xfId="0" applyFont="1" applyFill="1" applyBorder="1" applyAlignment="1">
      <alignment horizontal="centerContinuous" vertical="center"/>
    </xf>
    <xf fontId="6" fillId="7" borderId="1" numFmtId="0" xfId="0" applyFont="1" applyFill="1" applyBorder="1" applyAlignment="1">
      <alignment horizontal="centerContinuous" vertical="center"/>
    </xf>
    <xf fontId="6" fillId="7" borderId="6" numFmtId="0" xfId="0" applyFont="1" applyFill="1" applyBorder="1" applyAlignment="1">
      <alignment horizontal="centerContinuous" vertical="center"/>
    </xf>
    <xf fontId="6" fillId="7" borderId="7" numFmtId="0" xfId="0" applyFont="1" applyFill="1" applyBorder="1" applyAlignment="1">
      <alignment horizontal="centerContinuous" vertical="center"/>
    </xf>
    <xf fontId="6" fillId="3" borderId="1" numFmtId="0" xfId="0" applyFont="1" applyFill="1" applyBorder="1" applyAlignment="1">
      <alignment horizontal="centerContinuous" vertical="center"/>
    </xf>
    <xf fontId="6" fillId="3" borderId="6" numFmtId="0" xfId="0" applyFont="1" applyFill="1" applyBorder="1" applyAlignment="1">
      <alignment horizontal="centerContinuous" vertical="center"/>
    </xf>
    <xf fontId="6" fillId="3" borderId="7" numFmtId="0" xfId="0" applyFont="1" applyFill="1" applyBorder="1" applyAlignment="1">
      <alignment horizontal="centerContinuous" vertical="center"/>
    </xf>
    <xf fontId="6" fillId="6" borderId="1" numFmtId="0" xfId="0" applyFont="1" applyFill="1" applyBorder="1" applyAlignment="1">
      <alignment horizontal="centerContinuous" vertical="center"/>
    </xf>
    <xf fontId="6" fillId="3" borderId="1" numFmtId="0" xfId="0" applyFont="1" applyFill="1" applyBorder="1" applyAlignment="1">
      <alignment horizontal="center" vertical="center" wrapText="1"/>
    </xf>
    <xf fontId="0" fillId="3" borderId="6" numFmtId="0" xfId="0" applyFill="1" applyBorder="1" applyAlignment="1">
      <alignment horizontal="center" vertical="center" wrapText="1"/>
    </xf>
    <xf fontId="0" fillId="3" borderId="7" numFmtId="0" xfId="0" applyFill="1" applyBorder="1" applyAlignment="1">
      <alignment horizontal="center" vertical="center" wrapText="1"/>
    </xf>
    <xf fontId="9" fillId="3" borderId="2" numFmtId="0" xfId="0" applyFont="1" applyFill="1" applyBorder="1" applyAlignment="1">
      <alignment horizontal="center" vertical="center" wrapText="1"/>
    </xf>
    <xf fontId="4" fillId="3" borderId="8" numFmtId="0" xfId="2" applyFont="1" applyFill="1" applyBorder="1" applyAlignment="1">
      <alignment horizontal="center" vertical="center" wrapText="1"/>
    </xf>
    <xf fontId="4" fillId="3" borderId="9" numFmtId="0" xfId="2" applyFont="1" applyFill="1" applyBorder="1" applyAlignment="1">
      <alignment vertical="center"/>
    </xf>
    <xf fontId="7" fillId="3" borderId="10" numFmtId="0" xfId="2" applyFont="1" applyFill="1" applyBorder="1" applyAlignment="1">
      <alignment horizontal="center"/>
    </xf>
    <xf fontId="10" fillId="4" borderId="11" numFmtId="49" xfId="2" applyNumberFormat="1" applyFont="1" applyFill="1" applyBorder="1" applyAlignment="1">
      <alignment horizontal="center" vertical="center"/>
    </xf>
    <xf fontId="8" fillId="6" borderId="12" numFmtId="49" xfId="2" applyNumberFormat="1" applyFont="1" applyFill="1" applyBorder="1" applyAlignment="1">
      <alignment horizontal="center" vertical="center"/>
    </xf>
    <xf fontId="8" fillId="6" borderId="13" numFmtId="49" xfId="2" applyNumberFormat="1" applyFont="1" applyFill="1" applyBorder="1" applyAlignment="1">
      <alignment horizontal="center" vertical="center"/>
    </xf>
    <xf fontId="6" fillId="5" borderId="9" numFmtId="0" xfId="2" applyFont="1" applyFill="1" applyBorder="1" applyAlignment="1">
      <alignment horizontal="center" vertical="center" wrapText="1"/>
    </xf>
    <xf fontId="11" fillId="4" borderId="0" numFmtId="49" xfId="2" applyNumberFormat="1" applyFont="1" applyFill="1" applyAlignment="1">
      <alignment horizontal="center" vertical="center"/>
    </xf>
    <xf fontId="10" fillId="8" borderId="4" numFmtId="1" xfId="0" applyNumberFormat="1" applyFont="1" applyFill="1" applyBorder="1" applyAlignment="1">
      <alignment horizontal="center" vertical="center"/>
    </xf>
    <xf fontId="10" fillId="8" borderId="14" numFmtId="1" xfId="0" applyNumberFormat="1" applyFont="1" applyFill="1" applyBorder="1" applyAlignment="1">
      <alignment horizontal="center" vertical="center"/>
    </xf>
    <xf fontId="10" fillId="8" borderId="3" numFmtId="1" xfId="0" applyNumberFormat="1" applyFont="1" applyFill="1" applyBorder="1" applyAlignment="1">
      <alignment horizontal="center" vertical="center"/>
    </xf>
    <xf fontId="10" fillId="8" borderId="1" numFmtId="1" xfId="0" applyNumberFormat="1" applyFont="1" applyFill="1" applyBorder="1" applyAlignment="1">
      <alignment horizontal="center" vertical="center"/>
    </xf>
    <xf fontId="12" fillId="8" borderId="7" numFmtId="0" xfId="0" applyFont="1" applyFill="1" applyBorder="1" applyAlignment="1">
      <alignment horizontal="center" vertical="center"/>
    </xf>
    <xf fontId="13" fillId="9" borderId="2" numFmtId="0" xfId="0" applyFont="1" applyFill="1" applyBorder="1" applyAlignment="1">
      <alignment horizontal="center" vertical="center"/>
    </xf>
    <xf fontId="14" fillId="3" borderId="15" numFmtId="0" xfId="0" applyFont="1" applyFill="1" applyBorder="1" applyAlignment="1">
      <alignment horizontal="center" vertical="center" wrapText="1"/>
    </xf>
    <xf fontId="10" fillId="2" borderId="0" numFmtId="0" xfId="2" applyFont="1" applyFill="1"/>
    <xf fontId="10" fillId="0" borderId="0" numFmtId="0" xfId="2" applyFont="1"/>
    <xf fontId="7" fillId="7" borderId="2" numFmtId="0" xfId="2" applyFont="1" applyFill="1" applyBorder="1" applyAlignment="1">
      <alignment horizontal="center" textRotation="90" vertical="center" wrapText="1"/>
    </xf>
    <xf fontId="4" fillId="0" borderId="16" numFmtId="0" xfId="2" applyFont="1" applyBorder="1" applyAlignment="1">
      <alignment horizontal="center" vertical="center" wrapText="1"/>
    </xf>
    <xf fontId="15" fillId="0" borderId="17" numFmtId="1" xfId="2" applyNumberFormat="1" applyFont="1" applyBorder="1" applyAlignment="1">
      <alignment horizontal="left" vertical="center" wrapText="1"/>
    </xf>
    <xf fontId="4" fillId="4" borderId="11" numFmtId="1" xfId="2" applyNumberFormat="1" applyFont="1" applyFill="1" applyBorder="1" applyAlignment="1">
      <alignment horizontal="center" vertical="center" wrapText="1"/>
    </xf>
    <xf fontId="16" fillId="10" borderId="18" numFmtId="1" xfId="2" applyNumberFormat="1" applyFont="1" applyFill="1" applyBorder="1" applyAlignment="1">
      <alignment horizontal="center" vertical="center" wrapText="1"/>
    </xf>
    <xf fontId="16" fillId="11" borderId="19" numFmtId="1" xfId="2" applyNumberFormat="1" applyFont="1" applyFill="1" applyBorder="1" applyAlignment="1">
      <alignment horizontal="center" vertical="center" wrapText="1"/>
    </xf>
    <xf fontId="10" fillId="12" borderId="11" numFmtId="49" xfId="2" applyNumberFormat="1" applyFont="1" applyFill="1" applyBorder="1" applyAlignment="1">
      <alignment horizontal="center" vertical="center"/>
    </xf>
    <xf fontId="17" fillId="13" borderId="16" numFmtId="164" xfId="2" applyNumberFormat="1" applyFont="1" applyFill="1" applyBorder="1" applyAlignment="1">
      <alignment horizontal="center" vertical="center" wrapText="1"/>
    </xf>
    <xf fontId="4" fillId="4" borderId="0" numFmtId="1" xfId="2" applyNumberFormat="1" applyFont="1" applyFill="1" applyAlignment="1">
      <alignment horizontal="center" vertical="center" wrapText="1"/>
    </xf>
    <xf fontId="10" fillId="14" borderId="20" numFmtId="0" xfId="0" applyFont="1" applyFill="1" applyBorder="1" applyAlignment="1">
      <alignment horizontal="center" vertical="center"/>
    </xf>
    <xf fontId="10" fillId="0" borderId="20" numFmtId="0" xfId="0" applyFont="1" applyBorder="1" applyAlignment="1">
      <alignment horizontal="center" vertical="center"/>
    </xf>
    <xf fontId="10" fillId="0" borderId="20" numFmtId="0" xfId="0" applyFont="1" applyBorder="1" applyAlignment="1">
      <alignment vertical="center"/>
    </xf>
    <xf fontId="0" fillId="0" borderId="20" numFmtId="0" xfId="0" applyBorder="1" applyAlignment="1">
      <alignment vertical="center"/>
    </xf>
    <xf fontId="10" fillId="0" borderId="20" numFmtId="0" xfId="0" applyFont="1" applyBorder="1" applyAlignment="1">
      <alignment horizontal="center" vertical="center" wrapText="1"/>
    </xf>
    <xf fontId="4" fillId="0" borderId="20" numFmtId="0" xfId="0" applyFont="1" applyBorder="1" applyAlignment="1">
      <alignment vertical="center" wrapText="1"/>
    </xf>
    <xf fontId="10" fillId="2" borderId="0" numFmtId="0" xfId="2" applyFont="1" applyFill="1" applyAlignment="1">
      <alignment vertical="center" wrapText="1"/>
    </xf>
    <xf fontId="10" fillId="0" borderId="0" numFmtId="0" xfId="2" applyFont="1" applyAlignment="1">
      <alignment vertical="center" wrapText="1"/>
    </xf>
    <xf fontId="7" fillId="7" borderId="15" numFmtId="0" xfId="2" applyFont="1" applyFill="1" applyBorder="1" applyAlignment="1">
      <alignment horizontal="center" textRotation="90" vertical="center" wrapText="1"/>
    </xf>
    <xf fontId="4" fillId="0" borderId="21" numFmtId="0" xfId="2" applyFont="1" applyBorder="1" applyAlignment="1">
      <alignment horizontal="center" vertical="center" wrapText="1"/>
    </xf>
    <xf fontId="15" fillId="0" borderId="22" numFmtId="1" xfId="2" applyNumberFormat="1" applyFont="1" applyBorder="1" applyAlignment="1">
      <alignment horizontal="left" vertical="center" wrapText="1"/>
    </xf>
    <xf fontId="15" fillId="0" borderId="22" numFmtId="0" xfId="2" applyFont="1" applyBorder="1" applyAlignment="1">
      <alignment horizontal="left" vertical="center" wrapText="1"/>
    </xf>
    <xf fontId="0" fillId="0" borderId="20" numFmtId="0" xfId="0" applyBorder="1" applyAlignment="1">
      <alignment horizontal="center" vertical="center"/>
    </xf>
    <xf fontId="15" fillId="0" borderId="22" numFmtId="0" xfId="2" applyFont="1" applyBorder="1" applyAlignment="1">
      <alignment vertical="center" wrapText="1"/>
    </xf>
    <xf fontId="3" fillId="15" borderId="23" numFmtId="0" xfId="2" applyFont="1" applyFill="1" applyBorder="1" applyAlignment="1">
      <alignment horizontal="center" vertical="center" wrapText="1"/>
    </xf>
    <xf fontId="6" fillId="16" borderId="5" numFmtId="165" xfId="2" applyNumberFormat="1" applyFont="1" applyFill="1" applyBorder="1" applyAlignment="1">
      <alignment horizontal="center" vertical="center" wrapText="1"/>
    </xf>
    <xf fontId="4" fillId="4" borderId="5" numFmtId="0" xfId="2" applyFont="1" applyFill="1" applyBorder="1" applyAlignment="1">
      <alignment vertical="center" wrapText="1"/>
    </xf>
    <xf fontId="16" fillId="17" borderId="24" numFmtId="0" xfId="2" applyFont="1" applyFill="1" applyBorder="1" applyAlignment="1">
      <alignment vertical="center" wrapText="1"/>
    </xf>
    <xf fontId="16" fillId="18" borderId="24" numFmtId="0" xfId="2" applyFont="1" applyFill="1" applyBorder="1" applyAlignment="1">
      <alignment vertical="center" wrapText="1"/>
    </xf>
    <xf fontId="4" fillId="19" borderId="5" numFmtId="0" xfId="2" applyFont="1" applyFill="1" applyBorder="1" applyAlignment="1">
      <alignment vertical="center" wrapText="1"/>
    </xf>
    <xf fontId="4" fillId="15" borderId="25" numFmtId="0" xfId="0" applyFont="1" applyFill="1" applyBorder="1" applyAlignment="1">
      <alignment vertical="center"/>
    </xf>
    <xf fontId="4" fillId="15" borderId="26" numFmtId="0" xfId="0" applyFont="1" applyFill="1" applyBorder="1" applyAlignment="1">
      <alignment vertical="center"/>
    </xf>
    <xf fontId="4" fillId="15" borderId="27" numFmtId="0" xfId="0" applyFont="1" applyFill="1" applyBorder="1" applyAlignment="1">
      <alignment vertical="center"/>
    </xf>
    <xf fontId="7" fillId="3" borderId="2" numFmtId="0" xfId="2" applyFont="1" applyFill="1" applyBorder="1" applyAlignment="1">
      <alignment horizontal="center" textRotation="90" vertical="center" wrapText="1"/>
    </xf>
    <xf fontId="17" fillId="0" borderId="16" numFmtId="0" xfId="2" applyFont="1" applyBorder="1" applyAlignment="1">
      <alignment horizontal="center" vertical="center" wrapText="1"/>
    </xf>
    <xf fontId="15" fillId="0" borderId="17" numFmtId="0" xfId="2" applyFont="1" applyBorder="1" applyAlignment="1">
      <alignment vertical="center" wrapText="1"/>
    </xf>
    <xf fontId="15" fillId="3" borderId="15" numFmtId="0" xfId="2" applyFont="1" applyFill="1" applyBorder="1" applyAlignment="1">
      <alignment horizontal="center" textRotation="90" vertical="center"/>
    </xf>
    <xf fontId="17" fillId="0" borderId="21" numFmtId="0" xfId="2" applyFont="1" applyBorder="1" applyAlignment="1">
      <alignment horizontal="center" vertical="center" wrapText="1"/>
    </xf>
    <xf fontId="15" fillId="0" borderId="28" numFmtId="0" xfId="2" applyFont="1" applyBorder="1" applyAlignment="1">
      <alignment vertical="center" wrapText="1"/>
    </xf>
    <xf fontId="10" fillId="14" borderId="20" numFmtId="0" xfId="0" applyFont="1" applyFill="1" applyBorder="1" applyAlignment="1">
      <alignment vertical="center"/>
    </xf>
    <xf fontId="0" fillId="14" borderId="20" numFmtId="0" xfId="0" applyFill="1" applyBorder="1" applyAlignment="1">
      <alignment vertical="center"/>
    </xf>
    <xf fontId="10" fillId="20" borderId="20" numFmtId="0" xfId="0" applyFont="1" applyFill="1" applyBorder="1" applyAlignment="1">
      <alignment horizontal="center" vertical="center"/>
    </xf>
    <xf fontId="0" fillId="20" borderId="20" numFmtId="0" xfId="0" applyFill="1" applyBorder="1" applyAlignment="1">
      <alignment horizontal="center" vertical="center"/>
    </xf>
    <xf fontId="10" fillId="20" borderId="25" numFmtId="0" xfId="0" applyFont="1" applyFill="1" applyBorder="1" applyAlignment="1">
      <alignment horizontal="center" vertical="center"/>
    </xf>
    <xf fontId="0" fillId="20" borderId="27" numFmtId="0" xfId="0" applyFill="1" applyBorder="1" applyAlignment="1">
      <alignment horizontal="center" vertical="center"/>
    </xf>
    <xf fontId="16" fillId="17" borderId="5" numFmtId="0" xfId="2" applyFont="1" applyFill="1" applyBorder="1" applyAlignment="1">
      <alignment vertical="center" wrapText="1"/>
    </xf>
    <xf fontId="16" fillId="18" borderId="5" numFmtId="0" xfId="2" applyFont="1" applyFill="1" applyBorder="1" applyAlignment="1">
      <alignment vertical="center" wrapText="1"/>
    </xf>
    <xf fontId="4" fillId="15" borderId="25" numFmtId="0" xfId="0" applyFont="1" applyFill="1" applyBorder="1" applyAlignment="1">
      <alignment horizontal="center" vertical="center"/>
    </xf>
    <xf fontId="4" fillId="15" borderId="26" numFmtId="0" xfId="0" applyFont="1" applyFill="1" applyBorder="1" applyAlignment="1">
      <alignment horizontal="center" vertical="center"/>
    </xf>
    <xf fontId="4" fillId="15" borderId="27" numFmtId="0" xfId="0" applyFont="1" applyFill="1" applyBorder="1" applyAlignment="1">
      <alignment horizontal="center" vertical="center"/>
    </xf>
    <xf fontId="7" fillId="6" borderId="2" numFmtId="0" xfId="2" applyFont="1" applyFill="1" applyBorder="1" applyAlignment="1">
      <alignment horizontal="center" textRotation="90" vertical="center" wrapText="1"/>
    </xf>
    <xf fontId="10" fillId="21" borderId="20" numFmtId="0" xfId="0" applyFont="1" applyFill="1" applyBorder="1" applyAlignment="1">
      <alignment horizontal="center" vertical="center"/>
    </xf>
    <xf fontId="10" fillId="21" borderId="20" numFmtId="0" xfId="0" applyFont="1" applyFill="1" applyBorder="1" applyAlignment="1">
      <alignment vertical="center"/>
    </xf>
    <xf fontId="0" fillId="21" borderId="20" numFmtId="0" xfId="0" applyFill="1" applyBorder="1" applyAlignment="1">
      <alignment vertical="center"/>
    </xf>
    <xf fontId="7" fillId="6" borderId="15" numFmtId="0" xfId="2" applyFont="1" applyFill="1" applyBorder="1" applyAlignment="1">
      <alignment horizontal="center" textRotation="90" vertical="center" wrapText="1"/>
    </xf>
    <xf fontId="4" fillId="0" borderId="28" numFmtId="0" xfId="2" applyFont="1" applyBorder="1" applyAlignment="1">
      <alignment vertical="center" wrapText="1"/>
    </xf>
    <xf fontId="4" fillId="0" borderId="17" numFmtId="0" xfId="2" applyFont="1" applyBorder="1" applyAlignment="1">
      <alignment vertical="center" wrapText="1"/>
    </xf>
    <xf fontId="7" fillId="3" borderId="15" numFmtId="0" xfId="2" applyFont="1" applyFill="1" applyBorder="1" applyAlignment="1">
      <alignment horizontal="center" textRotation="90" vertical="center" wrapText="1"/>
    </xf>
    <xf fontId="10" fillId="22" borderId="20" numFmtId="0" xfId="0" applyFont="1" applyFill="1" applyBorder="1" applyAlignment="1">
      <alignment horizontal="center" vertical="center"/>
    </xf>
    <xf fontId="18" fillId="0" borderId="0" numFmtId="0" xfId="0" applyFont="1"/>
    <xf fontId="17" fillId="0" borderId="28" numFmtId="0" xfId="2" applyFont="1" applyBorder="1" applyAlignment="1">
      <alignment vertical="center" wrapText="1"/>
    </xf>
    <xf fontId="17" fillId="4" borderId="11" numFmtId="1" xfId="2" applyNumberFormat="1" applyFont="1" applyFill="1" applyBorder="1" applyAlignment="1">
      <alignment horizontal="center" vertical="center" wrapText="1"/>
    </xf>
    <xf fontId="19" fillId="10" borderId="18" numFmtId="1" xfId="2" applyNumberFormat="1" applyFont="1" applyFill="1" applyBorder="1" applyAlignment="1">
      <alignment horizontal="center" vertical="center" wrapText="1"/>
    </xf>
    <xf fontId="19" fillId="11" borderId="19" numFmtId="1" xfId="2" applyNumberFormat="1" applyFont="1" applyFill="1" applyBorder="1" applyAlignment="1">
      <alignment horizontal="center" vertical="center" wrapText="1"/>
    </xf>
    <xf fontId="17" fillId="12" borderId="11" numFmtId="49" xfId="2" applyNumberFormat="1" applyFont="1" applyFill="1" applyBorder="1" applyAlignment="1">
      <alignment horizontal="center" vertical="center"/>
    </xf>
    <xf fontId="17" fillId="4" borderId="0" numFmtId="1" xfId="2" applyNumberFormat="1" applyFont="1" applyFill="1" applyAlignment="1">
      <alignment horizontal="center" vertical="center" wrapText="1"/>
    </xf>
    <xf fontId="17" fillId="0" borderId="20" numFmtId="0" xfId="0" applyFont="1" applyBorder="1" applyAlignment="1">
      <alignment horizontal="center" vertical="center"/>
    </xf>
    <xf fontId="17" fillId="0" borderId="20" numFmtId="0" xfId="0" applyFont="1" applyBorder="1" applyAlignment="1">
      <alignment vertical="center"/>
    </xf>
    <xf fontId="18" fillId="0" borderId="20" numFmtId="0" xfId="0" applyFont="1" applyBorder="1" applyAlignment="1">
      <alignment vertical="center"/>
    </xf>
    <xf fontId="17" fillId="0" borderId="20" numFmtId="0" xfId="0" applyFont="1" applyBorder="1" applyAlignment="1">
      <alignment horizontal="center" vertical="center" wrapText="1"/>
    </xf>
    <xf fontId="17" fillId="0" borderId="20" numFmtId="0" xfId="0" applyFont="1" applyBorder="1" applyAlignment="1">
      <alignment vertical="center" wrapText="1"/>
    </xf>
    <xf fontId="17" fillId="2" borderId="0" numFmtId="0" xfId="2" applyFont="1" applyFill="1" applyAlignment="1">
      <alignment vertical="center" wrapText="1"/>
    </xf>
    <xf fontId="17" fillId="0" borderId="0" numFmtId="0" xfId="2" applyFont="1" applyAlignment="1">
      <alignment vertical="center" wrapText="1"/>
    </xf>
    <xf fontId="20" fillId="15" borderId="23" numFmtId="0" xfId="2" applyFont="1" applyFill="1" applyBorder="1" applyAlignment="1">
      <alignment horizontal="center" vertical="center" wrapText="1"/>
    </xf>
    <xf fontId="21" fillId="16" borderId="5" numFmtId="165" xfId="2" applyNumberFormat="1" applyFont="1" applyFill="1" applyBorder="1" applyAlignment="1">
      <alignment horizontal="center" vertical="center" wrapText="1"/>
    </xf>
    <xf fontId="17" fillId="4" borderId="5" numFmtId="0" xfId="2" applyFont="1" applyFill="1" applyBorder="1" applyAlignment="1">
      <alignment vertical="center" wrapText="1"/>
    </xf>
    <xf fontId="19" fillId="17" borderId="5" numFmtId="0" xfId="2" applyFont="1" applyFill="1" applyBorder="1" applyAlignment="1">
      <alignment vertical="center" wrapText="1"/>
    </xf>
    <xf fontId="19" fillId="18" borderId="5" numFmtId="0" xfId="2" applyFont="1" applyFill="1" applyBorder="1" applyAlignment="1">
      <alignment vertical="center" wrapText="1"/>
    </xf>
    <xf fontId="17" fillId="23" borderId="11" numFmtId="49" xfId="2" applyNumberFormat="1" applyFont="1" applyFill="1" applyBorder="1" applyAlignment="1">
      <alignment horizontal="center" vertical="center"/>
    </xf>
    <xf fontId="17" fillId="24" borderId="5" numFmtId="0" xfId="2" applyFont="1" applyFill="1" applyBorder="1" applyAlignment="1">
      <alignment vertical="center" wrapText="1"/>
    </xf>
    <xf fontId="17" fillId="15" borderId="29" numFmtId="0" xfId="0" applyFont="1" applyFill="1" applyBorder="1" applyAlignment="1">
      <alignment vertical="center"/>
    </xf>
    <xf fontId="17" fillId="15" borderId="0" numFmtId="0" xfId="0" applyFont="1" applyFill="1" applyAlignment="1">
      <alignment vertical="center"/>
    </xf>
    <xf fontId="22" fillId="6" borderId="1" numFmtId="0" xfId="2" applyFont="1" applyFill="1" applyBorder="1" applyAlignment="1">
      <alignment horizontal="center" vertical="center" wrapText="1"/>
    </xf>
    <xf fontId="23" fillId="6" borderId="7" numFmtId="0" xfId="2" applyFont="1" applyFill="1" applyBorder="1" applyAlignment="1">
      <alignment horizontal="center" vertical="center" wrapText="1"/>
    </xf>
    <xf fontId="24" fillId="25" borderId="9" numFmtId="1" xfId="2" applyNumberFormat="1" applyFont="1" applyFill="1" applyBorder="1" applyAlignment="1">
      <alignment horizontal="center" vertical="center" wrapText="1"/>
    </xf>
    <xf fontId="17" fillId="4" borderId="23" numFmtId="1" xfId="2" applyNumberFormat="1" applyFont="1" applyFill="1" applyBorder="1" applyAlignment="1">
      <alignment horizontal="center" vertical="center" wrapText="1"/>
    </xf>
    <xf fontId="25" fillId="26" borderId="23" numFmtId="0" xfId="2" applyFont="1" applyFill="1" applyBorder="1" applyAlignment="1">
      <alignment horizontal="center" vertical="center" wrapText="1"/>
    </xf>
    <xf fontId="26" fillId="26" borderId="5" numFmtId="0" xfId="2" applyFont="1" applyFill="1" applyBorder="1" applyAlignment="1">
      <alignment horizontal="center" vertical="center" wrapText="1"/>
    </xf>
    <xf fontId="26" fillId="26" borderId="30" numFmtId="0" xfId="2" applyFont="1" applyFill="1" applyBorder="1" applyAlignment="1">
      <alignment horizontal="center" vertical="center" wrapText="1"/>
    </xf>
    <xf fontId="17" fillId="4" borderId="5" numFmtId="1" xfId="2" applyNumberFormat="1" applyFont="1" applyFill="1" applyBorder="1" applyAlignment="1">
      <alignment horizontal="center" vertical="center" wrapText="1"/>
    </xf>
    <xf fontId="17" fillId="0" borderId="31" numFmtId="0" xfId="0" applyFont="1" applyBorder="1" applyAlignment="1">
      <alignment horizontal="center" vertical="center"/>
    </xf>
    <xf fontId="17" fillId="0" borderId="32" numFmtId="0" xfId="0" applyFont="1" applyBorder="1" applyAlignment="1">
      <alignment horizontal="center" vertical="center"/>
    </xf>
    <xf fontId="17" fillId="0" borderId="10" numFmtId="0" xfId="0" applyFont="1" applyBorder="1" applyAlignment="1">
      <alignment horizontal="center" vertical="center"/>
    </xf>
    <xf fontId="17" fillId="0" borderId="33" numFmtId="0" xfId="0" applyFont="1" applyBorder="1" applyAlignment="1">
      <alignment horizontal="center" vertical="center"/>
    </xf>
    <xf fontId="18" fillId="0" borderId="34" numFmtId="0" xfId="0" applyFont="1" applyBorder="1" applyAlignment="1">
      <alignment horizontal="center" vertical="center"/>
    </xf>
    <xf fontId="18" fillId="0" borderId="24" numFmtId="0" xfId="0" applyFont="1" applyBorder="1" applyAlignment="1">
      <alignment horizontal="center" vertical="center"/>
    </xf>
    <xf fontId="26" fillId="26" borderId="9" numFmtId="0" xfId="0" applyFont="1" applyFill="1" applyBorder="1" applyAlignment="1">
      <alignment horizontal="center" vertical="center" wrapText="1"/>
    </xf>
    <xf fontId="20" fillId="2" borderId="0" numFmtId="0" xfId="0" applyFont="1" applyFill="1" applyAlignment="1">
      <alignment horizontal="center" vertical="center" wrapText="1"/>
    </xf>
    <xf fontId="27" fillId="6" borderId="1" numFmtId="0" xfId="2" applyFont="1" applyFill="1" applyBorder="1" applyAlignment="1">
      <alignment horizontal="center" vertical="center" wrapText="1"/>
    </xf>
    <xf fontId="28" fillId="6" borderId="7" numFmtId="0" xfId="2" applyFont="1" applyFill="1" applyBorder="1" applyAlignment="1">
      <alignment horizontal="center" vertical="center" wrapText="1"/>
    </xf>
    <xf fontId="29" fillId="6" borderId="2" numFmtId="164" xfId="4" applyNumberFormat="1" applyFont="1" applyFill="1" applyBorder="1" applyAlignment="1">
      <alignment horizontal="center" vertical="center" wrapText="1"/>
    </xf>
    <xf fontId="17" fillId="27" borderId="23" numFmtId="1" xfId="2" applyNumberFormat="1" applyFont="1" applyFill="1" applyBorder="1" applyAlignment="1">
      <alignment horizontal="center" vertical="center" wrapText="1"/>
    </xf>
    <xf fontId="17" fillId="0" borderId="35" numFmtId="0" xfId="0" applyFont="1" applyBorder="1" applyAlignment="1">
      <alignment horizontal="center" vertical="center"/>
    </xf>
    <xf fontId="17" fillId="0" borderId="36" numFmtId="0" xfId="0" applyFont="1" applyBorder="1" applyAlignment="1">
      <alignment horizontal="center" vertical="center"/>
    </xf>
    <xf fontId="17" fillId="0" borderId="37" numFmtId="0" xfId="0" applyFont="1" applyBorder="1" applyAlignment="1">
      <alignment horizontal="center" vertical="center"/>
    </xf>
    <xf fontId="17" fillId="0" borderId="38" numFmtId="0" xfId="0" applyFont="1" applyBorder="1" applyAlignment="1">
      <alignment horizontal="center" vertical="center"/>
    </xf>
    <xf fontId="18" fillId="0" borderId="39" numFmtId="0" xfId="0" applyFont="1" applyBorder="1" applyAlignment="1">
      <alignment horizontal="center" vertical="center"/>
    </xf>
    <xf fontId="18" fillId="0" borderId="5" numFmtId="0" xfId="0" applyFont="1" applyBorder="1" applyAlignment="1">
      <alignment horizontal="center" vertical="center"/>
    </xf>
    <xf fontId="26" fillId="26" borderId="40" numFmtId="0" xfId="0" applyFont="1" applyFill="1" applyBorder="1" applyAlignment="1">
      <alignment horizontal="center" vertical="center" wrapText="1"/>
    </xf>
    <xf fontId="28" fillId="6" borderId="8" numFmtId="0" xfId="2" applyFont="1" applyFill="1" applyBorder="1" applyAlignment="1">
      <alignment horizontal="center" vertical="center" wrapText="1"/>
    </xf>
    <xf fontId="28" fillId="6" borderId="41" numFmtId="0" xfId="2" applyFont="1" applyFill="1" applyBorder="1" applyAlignment="1">
      <alignment horizontal="center" vertical="center" wrapText="1"/>
    </xf>
    <xf fontId="29" fillId="6" borderId="9" numFmtId="164" xfId="4" applyNumberFormat="1" applyFont="1" applyFill="1" applyBorder="1" applyAlignment="1">
      <alignment horizontal="center" vertical="center" wrapText="1"/>
    </xf>
    <xf fontId="4" fillId="2" borderId="0" numFmtId="0" xfId="2" applyFont="1" applyFill="1" applyAlignment="1">
      <alignment vertical="center" wrapText="1"/>
    </xf>
    <xf fontId="30" fillId="28" borderId="23" numFmtId="0" xfId="2" applyFont="1" applyFill="1" applyBorder="1" applyAlignment="1">
      <alignment horizontal="center" vertical="center" wrapText="1"/>
    </xf>
    <xf fontId="30" fillId="28" borderId="5" numFmtId="0" xfId="2" applyFont="1" applyFill="1" applyBorder="1" applyAlignment="1">
      <alignment horizontal="center" vertical="center" wrapText="1"/>
    </xf>
    <xf fontId="30" fillId="28" borderId="30" numFmtId="0" xfId="2" applyFont="1" applyFill="1" applyBorder="1" applyAlignment="1">
      <alignment horizontal="center" vertical="center" wrapText="1"/>
    </xf>
    <xf fontId="8" fillId="2" borderId="0" numFmtId="0" xfId="2" applyFont="1" applyFill="1" applyAlignment="1">
      <alignment vertical="center" wrapText="1"/>
    </xf>
    <xf fontId="31" fillId="2" borderId="0" numFmtId="0" xfId="2" applyFont="1" applyFill="1"/>
  </cellXfs>
  <cellStyles count="6">
    <cellStyle name="Hipervínculo 2" xfId="1"/>
    <cellStyle name="Normal" xfId="0" builtinId="0"/>
    <cellStyle name="Normal 2" xfId="2"/>
    <cellStyle name="Normal 3" xfId="3"/>
    <cellStyle name="Porcentaje 2" xfId="4"/>
    <cellStyle name="Porcentaje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media1.sv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9</xdr:col>
      <xdr:colOff>73818</xdr:colOff>
      <xdr:row>0</xdr:row>
      <xdr:rowOff>154779</xdr:rowOff>
    </xdr:from>
    <xdr:to>
      <xdr:col>21</xdr:col>
      <xdr:colOff>85722</xdr:colOff>
      <xdr:row>1</xdr:row>
      <xdr:rowOff>109535</xdr:rowOff>
    </xdr:to>
    <xdr:sp>
      <xdr:nvSpPr>
        <xdr:cNvPr id="2" name="Text Box 64"/>
        <xdr:cNvSpPr txBox="1">
          <a:spLocks noChangeArrowheads="1"/>
        </xdr:cNvSpPr>
      </xdr:nvSpPr>
      <xdr:spPr bwMode="auto">
        <a:xfrm>
          <a:off x="5760242" y="154779"/>
          <a:ext cx="4583904" cy="707230"/>
        </a:xfrm>
        <a:prstGeom prst="rect">
          <a:avLst/>
        </a:prstGeom>
        <a:solidFill>
          <a:srgbClr val="FF0000"/>
        </a:solidFill>
        <a:ln w="44450" cmpd="thickThin">
          <a:solidFill>
            <a:srgbClr val="000000"/>
          </a:solidFill>
          <a:miter lim="800000"/>
          <a:headEnd/>
          <a:tailEnd/>
        </a:ln>
      </xdr:spPr>
      <xdr:txBody>
        <a:bodyPr wrap="square" lIns="36576" tIns="36576" rIns="36576" bIns="36576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>
            <a:defRPr sz="1000"/>
          </a:pPr>
          <a:r>
            <a:rPr lang="es-MX" sz="1800" b="1" i="0" u="none" strike="noStrike">
              <a:solidFill>
                <a:sysClr val="windowText" lastClr="000000"/>
              </a:solidFill>
              <a:latin typeface="Letter Gothic"/>
            </a:rPr>
            <a:t>INSTITUTO TECNOLÓGICO DE LEÓN</a:t>
          </a:r>
          <a:endParaRPr/>
        </a:p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s-MX" sz="1800" b="1" i="0">
              <a:solidFill>
                <a:srgbClr val="0000FF"/>
              </a:solidFill>
              <a:latin typeface="+mn-lt"/>
              <a:ea typeface="+mn-ea"/>
              <a:cs typeface="+mn-cs"/>
            </a:rPr>
            <a:t>DIAGRAMA DE GANTT</a:t>
          </a:r>
          <a:endParaRPr lang="es-MX" sz="3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0</xdr:col>
      <xdr:colOff>130967</xdr:colOff>
      <xdr:row>4</xdr:row>
      <xdr:rowOff>361947</xdr:rowOff>
    </xdr:from>
    <xdr:to>
      <xdr:col>2</xdr:col>
      <xdr:colOff>433915</xdr:colOff>
      <xdr:row>4</xdr:row>
      <xdr:rowOff>634998</xdr:rowOff>
    </xdr:to>
    <xdr:sp>
      <xdr:nvSpPr>
        <xdr:cNvPr id="3" name="Text Box 65"/>
        <xdr:cNvSpPr txBox="1">
          <a:spLocks noChangeArrowheads="1"/>
        </xdr:cNvSpPr>
      </xdr:nvSpPr>
      <xdr:spPr bwMode="auto">
        <a:xfrm>
          <a:off x="130968" y="1657347"/>
          <a:ext cx="1074472" cy="2730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ASESOR EXTERNO:</a:t>
          </a:r>
          <a:endParaRPr/>
        </a:p>
      </xdr:txBody>
    </xdr:sp>
    <xdr:clientData/>
  </xdr:twoCellAnchor>
  <xdr:twoCellAnchor editAs="oneCell">
    <xdr:from>
      <xdr:col>2</xdr:col>
      <xdr:colOff>619123</xdr:colOff>
      <xdr:row>4</xdr:row>
      <xdr:rowOff>386289</xdr:rowOff>
    </xdr:from>
    <xdr:to>
      <xdr:col>2</xdr:col>
      <xdr:colOff>2453170</xdr:colOff>
      <xdr:row>4</xdr:row>
      <xdr:rowOff>638289</xdr:rowOff>
    </xdr:to>
    <xdr:sp>
      <xdr:nvSpPr>
        <xdr:cNvPr id="4" name="Text Box 66"/>
        <xdr:cNvSpPr txBox="1">
          <a:spLocks noChangeArrowheads="1"/>
        </xdr:cNvSpPr>
      </xdr:nvSpPr>
      <xdr:spPr bwMode="auto">
        <a:xfrm flipH="0" flipV="0">
          <a:off x="1390648" y="1681688"/>
          <a:ext cx="1834046" cy="252000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/>
        <a:lstStyle/>
        <a:p>
          <a:pPr>
            <a:defRPr/>
          </a:pPr>
          <a:r>
            <a:rPr/>
            <a:t>Octavio Román Villa Melgoza </a:t>
          </a:r>
          <a:endParaRPr sz="800"/>
        </a:p>
      </xdr:txBody>
    </xdr:sp>
    <xdr:clientData/>
  </xdr:twoCellAnchor>
  <xdr:twoCellAnchor editAs="oneCell">
    <xdr:from>
      <xdr:col>0</xdr:col>
      <xdr:colOff>135729</xdr:colOff>
      <xdr:row>4</xdr:row>
      <xdr:rowOff>19048</xdr:rowOff>
    </xdr:from>
    <xdr:to>
      <xdr:col>2</xdr:col>
      <xdr:colOff>391581</xdr:colOff>
      <xdr:row>4</xdr:row>
      <xdr:rowOff>264582</xdr:rowOff>
    </xdr:to>
    <xdr:sp>
      <xdr:nvSpPr>
        <xdr:cNvPr id="5" name="Text Box 94"/>
        <xdr:cNvSpPr txBox="1">
          <a:spLocks noChangeArrowheads="1"/>
        </xdr:cNvSpPr>
      </xdr:nvSpPr>
      <xdr:spPr bwMode="auto">
        <a:xfrm>
          <a:off x="135729" y="1314448"/>
          <a:ext cx="1027376" cy="24553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ASESOR INTERNO:</a:t>
          </a:r>
          <a:endParaRPr/>
        </a:p>
      </xdr:txBody>
    </xdr:sp>
    <xdr:clientData/>
  </xdr:twoCellAnchor>
  <xdr:twoCellAnchor editAs="oneCell">
    <xdr:from>
      <xdr:col>2</xdr:col>
      <xdr:colOff>619123</xdr:colOff>
      <xdr:row>4</xdr:row>
      <xdr:rowOff>40214</xdr:rowOff>
    </xdr:from>
    <xdr:to>
      <xdr:col>3</xdr:col>
      <xdr:colOff>4186</xdr:colOff>
      <xdr:row>4</xdr:row>
      <xdr:rowOff>292214</xdr:rowOff>
    </xdr:to>
    <xdr:sp>
      <xdr:nvSpPr>
        <xdr:cNvPr id="6" name="Text Box 95"/>
        <xdr:cNvSpPr txBox="1">
          <a:spLocks noChangeArrowheads="1"/>
        </xdr:cNvSpPr>
      </xdr:nvSpPr>
      <xdr:spPr bwMode="auto">
        <a:xfrm flipH="0" flipV="0">
          <a:off x="1390648" y="1335614"/>
          <a:ext cx="1842512" cy="252000"/>
        </a:xfrm>
        <a:prstGeom prst="rect">
          <a:avLst/>
        </a:prstGeom>
        <a:solidFill>
          <a:srgbClr val="00B0F0"/>
        </a:solidFill>
        <a:ln>
          <a:noFill/>
        </a:ln>
        <a:effectLst/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>
            <a:defRPr/>
          </a:pP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0</xdr:col>
      <xdr:colOff>133348</xdr:colOff>
      <xdr:row>2</xdr:row>
      <xdr:rowOff>95249</xdr:rowOff>
    </xdr:from>
    <xdr:to>
      <xdr:col>2</xdr:col>
      <xdr:colOff>349248</xdr:colOff>
      <xdr:row>3</xdr:row>
      <xdr:rowOff>126999</xdr:rowOff>
    </xdr:to>
    <xdr:sp>
      <xdr:nvSpPr>
        <xdr:cNvPr id="7" name="Text Box 195"/>
        <xdr:cNvSpPr txBox="1">
          <a:spLocks noChangeArrowheads="1"/>
        </xdr:cNvSpPr>
      </xdr:nvSpPr>
      <xdr:spPr bwMode="auto">
        <a:xfrm>
          <a:off x="133348" y="1028699"/>
          <a:ext cx="987424" cy="212723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PROYECTO:</a:t>
          </a:r>
          <a:endParaRPr/>
        </a:p>
      </xdr:txBody>
    </xdr:sp>
    <xdr:clientData/>
  </xdr:twoCellAnchor>
  <xdr:twoCellAnchor editAs="oneCell">
    <xdr:from>
      <xdr:col>2</xdr:col>
      <xdr:colOff>619123</xdr:colOff>
      <xdr:row>1</xdr:row>
      <xdr:rowOff>123823</xdr:rowOff>
    </xdr:from>
    <xdr:to>
      <xdr:col>11</xdr:col>
      <xdr:colOff>314322</xdr:colOff>
      <xdr:row>3</xdr:row>
      <xdr:rowOff>171448</xdr:rowOff>
    </xdr:to>
    <xdr:sp>
      <xdr:nvSpPr>
        <xdr:cNvPr id="8" name="Text Box 196"/>
        <xdr:cNvSpPr txBox="1">
          <a:spLocks noChangeArrowheads="1"/>
        </xdr:cNvSpPr>
      </xdr:nvSpPr>
      <xdr:spPr bwMode="auto">
        <a:xfrm>
          <a:off x="1390648" y="876298"/>
          <a:ext cx="5372098" cy="409574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/>
        <a:lstStyle/>
        <a:p>
          <a:pPr marL="0" indent="0">
            <a:defRPr/>
          </a:pPr>
          <a:r>
            <a:rPr lang="es-ES">
              <a:latin typeface="Arial"/>
              <a:ea typeface="Arial"/>
              <a:cs typeface="Arial"/>
            </a:rPr>
            <a:t>PLATAFORMA DE MONITOREO CON ANSIBLE PARA REDES CRÍTICAS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0</xdr:col>
      <xdr:colOff>47622</xdr:colOff>
      <xdr:row>45</xdr:row>
      <xdr:rowOff>114300</xdr:rowOff>
    </xdr:from>
    <xdr:to>
      <xdr:col>2</xdr:col>
      <xdr:colOff>1397792</xdr:colOff>
      <xdr:row>46</xdr:row>
      <xdr:rowOff>152399</xdr:rowOff>
    </xdr:to>
    <xdr:sp>
      <xdr:nvSpPr>
        <xdr:cNvPr id="9" name="Text Box 197"/>
        <xdr:cNvSpPr txBox="1">
          <a:spLocks noChangeArrowheads="1"/>
        </xdr:cNvSpPr>
      </xdr:nvSpPr>
      <xdr:spPr bwMode="auto">
        <a:xfrm>
          <a:off x="47622" y="10772774"/>
          <a:ext cx="2121694" cy="2190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FECHA DE CIERRE:</a:t>
          </a:r>
          <a:endParaRPr/>
        </a:p>
      </xdr:txBody>
    </xdr:sp>
    <xdr:clientData/>
  </xdr:twoCellAnchor>
  <xdr:twoCellAnchor editAs="oneCell">
    <xdr:from>
      <xdr:col>2</xdr:col>
      <xdr:colOff>1704973</xdr:colOff>
      <xdr:row>45</xdr:row>
      <xdr:rowOff>114300</xdr:rowOff>
    </xdr:from>
    <xdr:to>
      <xdr:col>4</xdr:col>
      <xdr:colOff>171448</xdr:colOff>
      <xdr:row>46</xdr:row>
      <xdr:rowOff>171449</xdr:rowOff>
    </xdr:to>
    <xdr:sp>
      <xdr:nvSpPr>
        <xdr:cNvPr id="10" name="Text Box 198"/>
        <xdr:cNvSpPr txBox="1">
          <a:spLocks noChangeArrowheads="1"/>
        </xdr:cNvSpPr>
      </xdr:nvSpPr>
      <xdr:spPr bwMode="auto">
        <a:xfrm>
          <a:off x="2476498" y="10772774"/>
          <a:ext cx="981074" cy="238124"/>
        </a:xfrm>
        <a:prstGeom prst="rect">
          <a:avLst/>
        </a:prstGeom>
        <a:solidFill>
          <a:srgbClr val="00B0F0"/>
        </a:solidFill>
        <a:ln>
          <a:noFill/>
        </a:ln>
        <a:effectLst/>
      </xdr:spPr>
      <xdr:txBody>
        <a:bodyPr/>
        <a:lstStyle/>
        <a:p>
          <a:pPr>
            <a:defRPr/>
          </a:pPr>
          <a:endParaRPr lang="es-MX"/>
        </a:p>
      </xdr:txBody>
    </xdr:sp>
    <xdr:clientData/>
  </xdr:twoCellAnchor>
  <xdr:twoCellAnchor editAs="oneCell">
    <xdr:from>
      <xdr:col>0</xdr:col>
      <xdr:colOff>47622</xdr:colOff>
      <xdr:row>40</xdr:row>
      <xdr:rowOff>57150</xdr:rowOff>
    </xdr:from>
    <xdr:to>
      <xdr:col>2</xdr:col>
      <xdr:colOff>1397792</xdr:colOff>
      <xdr:row>41</xdr:row>
      <xdr:rowOff>95248</xdr:rowOff>
    </xdr:to>
    <xdr:sp>
      <xdr:nvSpPr>
        <xdr:cNvPr id="11" name="Text Box 199"/>
        <xdr:cNvSpPr txBox="1">
          <a:spLocks noChangeArrowheads="1"/>
        </xdr:cNvSpPr>
      </xdr:nvSpPr>
      <xdr:spPr bwMode="auto">
        <a:xfrm>
          <a:off x="47622" y="9810749"/>
          <a:ext cx="2121694" cy="219073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PERSONA QUE APRUEBA EL PROYECTO:</a:t>
          </a:r>
          <a:endParaRPr/>
        </a:p>
      </xdr:txBody>
    </xdr:sp>
    <xdr:clientData/>
  </xdr:twoCellAnchor>
  <xdr:twoCellAnchor editAs="oneCell">
    <xdr:from>
      <xdr:col>2</xdr:col>
      <xdr:colOff>1685925</xdr:colOff>
      <xdr:row>40</xdr:row>
      <xdr:rowOff>76198</xdr:rowOff>
    </xdr:from>
    <xdr:to>
      <xdr:col>5</xdr:col>
      <xdr:colOff>190498</xdr:colOff>
      <xdr:row>41</xdr:row>
      <xdr:rowOff>133348</xdr:rowOff>
    </xdr:to>
    <xdr:sp>
      <xdr:nvSpPr>
        <xdr:cNvPr id="12" name="Text Box 200"/>
        <xdr:cNvSpPr txBox="1">
          <a:spLocks noChangeArrowheads="1"/>
        </xdr:cNvSpPr>
      </xdr:nvSpPr>
      <xdr:spPr bwMode="auto">
        <a:xfrm>
          <a:off x="2457449" y="9829798"/>
          <a:ext cx="1781173" cy="238124"/>
        </a:xfrm>
        <a:prstGeom prst="rect">
          <a:avLst/>
        </a:prstGeom>
        <a:solidFill>
          <a:srgbClr val="00B0F0"/>
        </a:solidFill>
        <a:ln>
          <a:noFill/>
        </a:ln>
        <a:effectLst/>
      </xdr:spPr>
      <xdr:txBody>
        <a:bodyPr/>
        <a:lstStyle/>
        <a:p>
          <a:pPr>
            <a:defRPr/>
          </a:pPr>
          <a:endParaRPr lang="es-MX"/>
        </a:p>
      </xdr:txBody>
    </xdr:sp>
    <xdr:clientData/>
  </xdr:twoCellAnchor>
  <xdr:twoCellAnchor editAs="oneCell">
    <xdr:from>
      <xdr:col>0</xdr:col>
      <xdr:colOff>76198</xdr:colOff>
      <xdr:row>42</xdr:row>
      <xdr:rowOff>95248</xdr:rowOff>
    </xdr:from>
    <xdr:to>
      <xdr:col>2</xdr:col>
      <xdr:colOff>1426367</xdr:colOff>
      <xdr:row>44</xdr:row>
      <xdr:rowOff>171448</xdr:rowOff>
    </xdr:to>
    <xdr:sp>
      <xdr:nvSpPr>
        <xdr:cNvPr id="13" name="Text Box 205"/>
        <xdr:cNvSpPr txBox="1">
          <a:spLocks noChangeArrowheads="1"/>
        </xdr:cNvSpPr>
      </xdr:nvSpPr>
      <xdr:spPr bwMode="auto">
        <a:xfrm>
          <a:off x="76198" y="10210798"/>
          <a:ext cx="2121693" cy="4381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27432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RESPONSABLES DE LA EJECUCIÓN Y ENTREGA DE ACTIVIDADES:</a:t>
          </a:r>
          <a:endParaRPr/>
        </a:p>
      </xdr:txBody>
    </xdr:sp>
    <xdr:clientData/>
  </xdr:twoCellAnchor>
  <xdr:twoCellAnchor editAs="oneCell">
    <xdr:from>
      <xdr:col>2</xdr:col>
      <xdr:colOff>1666873</xdr:colOff>
      <xdr:row>42</xdr:row>
      <xdr:rowOff>19048</xdr:rowOff>
    </xdr:from>
    <xdr:to>
      <xdr:col>5</xdr:col>
      <xdr:colOff>171448</xdr:colOff>
      <xdr:row>43</xdr:row>
      <xdr:rowOff>76198</xdr:rowOff>
    </xdr:to>
    <xdr:sp>
      <xdr:nvSpPr>
        <xdr:cNvPr id="14" name="Text Box 206"/>
        <xdr:cNvSpPr txBox="1">
          <a:spLocks noChangeArrowheads="1"/>
        </xdr:cNvSpPr>
      </xdr:nvSpPr>
      <xdr:spPr bwMode="auto">
        <a:xfrm>
          <a:off x="2438398" y="10134598"/>
          <a:ext cx="1781174" cy="238124"/>
        </a:xfrm>
        <a:prstGeom prst="rect">
          <a:avLst/>
        </a:prstGeom>
        <a:solidFill>
          <a:srgbClr val="00B0F0"/>
        </a:solidFill>
        <a:ln>
          <a:noFill/>
        </a:ln>
        <a:effectLst/>
      </xdr:spPr>
      <xdr:txBody>
        <a:bodyPr/>
        <a:lstStyle/>
        <a:p>
          <a:pPr>
            <a:defRPr/>
          </a:pPr>
          <a:endParaRPr lang="es-MX"/>
        </a:p>
      </xdr:txBody>
    </xdr:sp>
    <xdr:clientData/>
  </xdr:twoCellAnchor>
  <xdr:twoCellAnchor editAs="oneCell">
    <xdr:from>
      <xdr:col>2</xdr:col>
      <xdr:colOff>1676397</xdr:colOff>
      <xdr:row>43</xdr:row>
      <xdr:rowOff>152398</xdr:rowOff>
    </xdr:from>
    <xdr:to>
      <xdr:col>5</xdr:col>
      <xdr:colOff>180973</xdr:colOff>
      <xdr:row>45</xdr:row>
      <xdr:rowOff>19048</xdr:rowOff>
    </xdr:to>
    <xdr:sp>
      <xdr:nvSpPr>
        <xdr:cNvPr id="15" name="Text Box 207"/>
        <xdr:cNvSpPr txBox="1">
          <a:spLocks noChangeArrowheads="1"/>
        </xdr:cNvSpPr>
      </xdr:nvSpPr>
      <xdr:spPr bwMode="auto">
        <a:xfrm>
          <a:off x="2447922" y="10448923"/>
          <a:ext cx="1781175" cy="228599"/>
        </a:xfrm>
        <a:prstGeom prst="rect">
          <a:avLst/>
        </a:prstGeom>
        <a:solidFill>
          <a:srgbClr val="00B0F0"/>
        </a:solidFill>
        <a:ln>
          <a:noFill/>
        </a:ln>
        <a:effectLst/>
      </xdr:spPr>
      <xdr:txBody>
        <a:bodyPr/>
        <a:lstStyle/>
        <a:p>
          <a:pPr>
            <a:defRPr/>
          </a:pPr>
          <a:endParaRPr lang="es-MX"/>
        </a:p>
      </xdr:txBody>
    </xdr:sp>
    <xdr:clientData/>
  </xdr:twoCellAnchor>
  <xdr:twoCellAnchor editAs="oneCell">
    <xdr:from>
      <xdr:col>5</xdr:col>
      <xdr:colOff>304797</xdr:colOff>
      <xdr:row>42</xdr:row>
      <xdr:rowOff>19048</xdr:rowOff>
    </xdr:from>
    <xdr:to>
      <xdr:col>10</xdr:col>
      <xdr:colOff>45243</xdr:colOff>
      <xdr:row>43</xdr:row>
      <xdr:rowOff>76198</xdr:rowOff>
    </xdr:to>
    <xdr:sp>
      <xdr:nvSpPr>
        <xdr:cNvPr id="16" name="Text Box 208"/>
        <xdr:cNvSpPr txBox="1">
          <a:spLocks noChangeArrowheads="1"/>
        </xdr:cNvSpPr>
      </xdr:nvSpPr>
      <xdr:spPr bwMode="auto">
        <a:xfrm>
          <a:off x="4352922" y="10134598"/>
          <a:ext cx="1759744" cy="238124"/>
        </a:xfrm>
        <a:prstGeom prst="rect">
          <a:avLst/>
        </a:prstGeom>
        <a:solidFill>
          <a:srgbClr val="FF3300"/>
        </a:solidFill>
        <a:ln>
          <a:noFill/>
        </a:ln>
        <a:effectLst/>
      </xdr:spPr>
      <xdr:txBody>
        <a:bodyPr/>
        <a:lstStyle/>
        <a:p>
          <a:pPr>
            <a:defRPr/>
          </a:pPr>
          <a:endParaRPr lang="es-MX"/>
        </a:p>
      </xdr:txBody>
    </xdr:sp>
    <xdr:clientData/>
  </xdr:twoCellAnchor>
  <xdr:twoCellAnchor editAs="oneCell">
    <xdr:from>
      <xdr:col>5</xdr:col>
      <xdr:colOff>314322</xdr:colOff>
      <xdr:row>43</xdr:row>
      <xdr:rowOff>142875</xdr:rowOff>
    </xdr:from>
    <xdr:to>
      <xdr:col>10</xdr:col>
      <xdr:colOff>54766</xdr:colOff>
      <xdr:row>45</xdr:row>
      <xdr:rowOff>9523</xdr:rowOff>
    </xdr:to>
    <xdr:sp>
      <xdr:nvSpPr>
        <xdr:cNvPr id="17" name="Text Box 209"/>
        <xdr:cNvSpPr txBox="1">
          <a:spLocks noChangeArrowheads="1"/>
        </xdr:cNvSpPr>
      </xdr:nvSpPr>
      <xdr:spPr bwMode="auto">
        <a:xfrm>
          <a:off x="4362447" y="10439399"/>
          <a:ext cx="1759743" cy="228598"/>
        </a:xfrm>
        <a:prstGeom prst="rect">
          <a:avLst/>
        </a:prstGeom>
        <a:solidFill>
          <a:srgbClr val="FF3300"/>
        </a:solidFill>
        <a:ln>
          <a:noFill/>
        </a:ln>
        <a:effectLst/>
      </xdr:spPr>
      <xdr:txBody>
        <a:bodyPr/>
        <a:lstStyle/>
        <a:p>
          <a:pPr>
            <a:defRPr/>
          </a:pPr>
          <a:endParaRPr lang="es-MX"/>
        </a:p>
      </xdr:txBody>
    </xdr:sp>
    <xdr:clientData/>
  </xdr:twoCellAnchor>
  <xdr:twoCellAnchor editAs="oneCell">
    <xdr:from>
      <xdr:col>2</xdr:col>
      <xdr:colOff>1543050</xdr:colOff>
      <xdr:row>42</xdr:row>
      <xdr:rowOff>19048</xdr:rowOff>
    </xdr:from>
    <xdr:to>
      <xdr:col>2</xdr:col>
      <xdr:colOff>1619248</xdr:colOff>
      <xdr:row>45</xdr:row>
      <xdr:rowOff>28575</xdr:rowOff>
    </xdr:to>
    <xdr:sp>
      <xdr:nvSpPr>
        <xdr:cNvPr id="18" name="AutoShape 210"/>
        <xdr:cNvSpPr/>
      </xdr:nvSpPr>
      <xdr:spPr bwMode="auto">
        <a:xfrm>
          <a:off x="2314574" y="10134598"/>
          <a:ext cx="76198" cy="552450"/>
        </a:xfrm>
        <a:prstGeom prst="leftBrace">
          <a:avLst>
            <a:gd name="adj1" fmla="val 63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>
            <a:defRPr/>
          </a:pPr>
          <a:endParaRPr lang="es-MX"/>
        </a:p>
      </xdr:txBody>
    </xdr:sp>
    <xdr:clientData/>
  </xdr:twoCellAnchor>
  <xdr:twoCellAnchor editAs="oneCell">
    <xdr:from>
      <xdr:col>4</xdr:col>
      <xdr:colOff>154514</xdr:colOff>
      <xdr:row>4</xdr:row>
      <xdr:rowOff>28572</xdr:rowOff>
    </xdr:from>
    <xdr:to>
      <xdr:col>7</xdr:col>
      <xdr:colOff>21164</xdr:colOff>
      <xdr:row>4</xdr:row>
      <xdr:rowOff>349246</xdr:rowOff>
    </xdr:to>
    <xdr:sp>
      <xdr:nvSpPr>
        <xdr:cNvPr id="22" name="Text Box 195"/>
        <xdr:cNvSpPr txBox="1">
          <a:spLocks noChangeArrowheads="1"/>
        </xdr:cNvSpPr>
      </xdr:nvSpPr>
      <xdr:spPr bwMode="auto">
        <a:xfrm>
          <a:off x="3440639" y="1323972"/>
          <a:ext cx="1447799" cy="320673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CORREO: ASESOR INTERNO</a:t>
          </a:r>
          <a:endParaRPr/>
        </a:p>
      </xdr:txBody>
    </xdr:sp>
    <xdr:clientData/>
  </xdr:twoCellAnchor>
  <xdr:twoCellAnchor editAs="oneCell">
    <xdr:from>
      <xdr:col>7</xdr:col>
      <xdr:colOff>294214</xdr:colOff>
      <xdr:row>4</xdr:row>
      <xdr:rowOff>81490</xdr:rowOff>
    </xdr:from>
    <xdr:to>
      <xdr:col>11</xdr:col>
      <xdr:colOff>316129</xdr:colOff>
      <xdr:row>4</xdr:row>
      <xdr:rowOff>333490</xdr:rowOff>
    </xdr:to>
    <xdr:sp>
      <xdr:nvSpPr>
        <xdr:cNvPr id="23" name="Text Box 196"/>
        <xdr:cNvSpPr txBox="1">
          <a:spLocks noChangeArrowheads="1"/>
        </xdr:cNvSpPr>
      </xdr:nvSpPr>
      <xdr:spPr bwMode="auto">
        <a:xfrm>
          <a:off x="5161489" y="1376890"/>
          <a:ext cx="1603064" cy="251999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/>
        <a:lstStyle/>
        <a:p>
          <a:pPr>
            <a:defRPr/>
          </a:pPr>
          <a:endParaRPr lang="es-MX"/>
        </a:p>
      </xdr:txBody>
    </xdr:sp>
    <xdr:clientData/>
  </xdr:twoCellAnchor>
  <xdr:twoCellAnchor editAs="oneCell">
    <xdr:from>
      <xdr:col>4</xdr:col>
      <xdr:colOff>164041</xdr:colOff>
      <xdr:row>4</xdr:row>
      <xdr:rowOff>438148</xdr:rowOff>
    </xdr:from>
    <xdr:to>
      <xdr:col>7</xdr:col>
      <xdr:colOff>46181</xdr:colOff>
      <xdr:row>4</xdr:row>
      <xdr:rowOff>704269</xdr:rowOff>
    </xdr:to>
    <xdr:sp>
      <xdr:nvSpPr>
        <xdr:cNvPr id="24" name="Text Box 195"/>
        <xdr:cNvSpPr txBox="1">
          <a:spLocks noChangeArrowheads="1"/>
        </xdr:cNvSpPr>
      </xdr:nvSpPr>
      <xdr:spPr bwMode="auto">
        <a:xfrm>
          <a:off x="3450166" y="1733548"/>
          <a:ext cx="1463289" cy="26612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CORREO ASESOR EXTERNO:</a:t>
          </a:r>
          <a:endParaRPr/>
        </a:p>
      </xdr:txBody>
    </xdr:sp>
    <xdr:clientData/>
  </xdr:twoCellAnchor>
  <xdr:twoCellAnchor editAs="oneCell">
    <xdr:from>
      <xdr:col>12</xdr:col>
      <xdr:colOff>205579</xdr:colOff>
      <xdr:row>4</xdr:row>
      <xdr:rowOff>81490</xdr:rowOff>
    </xdr:from>
    <xdr:to>
      <xdr:col>14</xdr:col>
      <xdr:colOff>285750</xdr:colOff>
      <xdr:row>4</xdr:row>
      <xdr:rowOff>380997</xdr:rowOff>
    </xdr:to>
    <xdr:sp>
      <xdr:nvSpPr>
        <xdr:cNvPr id="26" name="Text Box 195"/>
        <xdr:cNvSpPr txBox="1">
          <a:spLocks noChangeArrowheads="1"/>
        </xdr:cNvSpPr>
      </xdr:nvSpPr>
      <xdr:spPr bwMode="auto">
        <a:xfrm>
          <a:off x="7035004" y="1376890"/>
          <a:ext cx="842169" cy="29950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CARRERA</a:t>
          </a:r>
          <a:endParaRPr/>
        </a:p>
      </xdr:txBody>
    </xdr:sp>
    <xdr:clientData/>
  </xdr:twoCellAnchor>
  <xdr:twoCellAnchor editAs="oneCell">
    <xdr:from>
      <xdr:col>7</xdr:col>
      <xdr:colOff>294214</xdr:colOff>
      <xdr:row>4</xdr:row>
      <xdr:rowOff>446614</xdr:rowOff>
    </xdr:from>
    <xdr:to>
      <xdr:col>11</xdr:col>
      <xdr:colOff>336238</xdr:colOff>
      <xdr:row>4</xdr:row>
      <xdr:rowOff>698613</xdr:rowOff>
    </xdr:to>
    <xdr:sp>
      <xdr:nvSpPr>
        <xdr:cNvPr id="27" name="Text Box 196"/>
        <xdr:cNvSpPr txBox="1">
          <a:spLocks noChangeArrowheads="1"/>
        </xdr:cNvSpPr>
      </xdr:nvSpPr>
      <xdr:spPr bwMode="auto">
        <a:xfrm flipH="0" flipV="0">
          <a:off x="5161489" y="1742014"/>
          <a:ext cx="1623173" cy="251998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/>
        <a:lstStyle/>
        <a:p>
          <a:pPr>
            <a:defRPr/>
          </a:pPr>
          <a:r>
            <a:rPr lang="es-MX" sz="900"/>
            <a:t>ovillam@guanajuato.gob.mx</a:t>
          </a:r>
          <a:endParaRPr lang="es-MX"/>
        </a:p>
      </xdr:txBody>
    </xdr:sp>
    <xdr:clientData/>
  </xdr:twoCellAnchor>
  <xdr:twoCellAnchor editAs="oneCell">
    <xdr:from>
      <xdr:col>12</xdr:col>
      <xdr:colOff>207960</xdr:colOff>
      <xdr:row>4</xdr:row>
      <xdr:rowOff>466723</xdr:rowOff>
    </xdr:from>
    <xdr:to>
      <xdr:col>14</xdr:col>
      <xdr:colOff>275166</xdr:colOff>
      <xdr:row>4</xdr:row>
      <xdr:rowOff>698499</xdr:rowOff>
    </xdr:to>
    <xdr:sp>
      <xdr:nvSpPr>
        <xdr:cNvPr id="29" name="Text Box 195"/>
        <xdr:cNvSpPr txBox="1">
          <a:spLocks noChangeArrowheads="1"/>
        </xdr:cNvSpPr>
      </xdr:nvSpPr>
      <xdr:spPr bwMode="auto">
        <a:xfrm>
          <a:off x="7037385" y="1762123"/>
          <a:ext cx="829204" cy="2317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EMPRESA</a:t>
          </a:r>
          <a:endParaRPr/>
        </a:p>
      </xdr:txBody>
    </xdr:sp>
    <xdr:clientData/>
  </xdr:twoCellAnchor>
  <xdr:twoCellAnchor editAs="oneCell">
    <xdr:from>
      <xdr:col>12</xdr:col>
      <xdr:colOff>114300</xdr:colOff>
      <xdr:row>2</xdr:row>
      <xdr:rowOff>66672</xdr:rowOff>
    </xdr:from>
    <xdr:to>
      <xdr:col>14</xdr:col>
      <xdr:colOff>257175</xdr:colOff>
      <xdr:row>4</xdr:row>
      <xdr:rowOff>0</xdr:rowOff>
    </xdr:to>
    <xdr:sp>
      <xdr:nvSpPr>
        <xdr:cNvPr id="31" name="Text Box 195"/>
        <xdr:cNvSpPr txBox="1">
          <a:spLocks noChangeArrowheads="1"/>
        </xdr:cNvSpPr>
      </xdr:nvSpPr>
      <xdr:spPr bwMode="auto">
        <a:xfrm>
          <a:off x="6943724" y="1000122"/>
          <a:ext cx="904874" cy="29527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ALUMNO:/No.CONTROL/PERIODO</a:t>
          </a:r>
          <a:endParaRPr/>
        </a:p>
      </xdr:txBody>
    </xdr:sp>
    <xdr:clientData/>
  </xdr:twoCellAnchor>
  <xdr:twoCellAnchor editAs="oneCell">
    <xdr:from>
      <xdr:col>30</xdr:col>
      <xdr:colOff>261935</xdr:colOff>
      <xdr:row>0</xdr:row>
      <xdr:rowOff>202404</xdr:rowOff>
    </xdr:from>
    <xdr:to>
      <xdr:col>32</xdr:col>
      <xdr:colOff>198254</xdr:colOff>
      <xdr:row>1</xdr:row>
      <xdr:rowOff>152398</xdr:rowOff>
    </xdr:to>
    <xdr:pic>
      <xdr:nvPicPr>
        <xdr:cNvPr id="32" name="31 Imagen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3949360" y="202404"/>
          <a:ext cx="698318" cy="702468"/>
        </a:xfrm>
        <a:prstGeom prst="rect">
          <a:avLst/>
        </a:prstGeom>
      </xdr:spPr>
    </xdr:pic>
    <xdr:clientData/>
  </xdr:twoCellAnchor>
  <xdr:twoCellAnchor editAs="oneCell">
    <xdr:from>
      <xdr:col>23</xdr:col>
      <xdr:colOff>342899</xdr:colOff>
      <xdr:row>0</xdr:row>
      <xdr:rowOff>209550</xdr:rowOff>
    </xdr:from>
    <xdr:to>
      <xdr:col>25</xdr:col>
      <xdr:colOff>202431</xdr:colOff>
      <xdr:row>1</xdr:row>
      <xdr:rowOff>139698</xdr:rowOff>
    </xdr:to>
    <xdr:pic>
      <xdr:nvPicPr>
        <xdr:cNvPr id="33" name="32 Imagen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1363324" y="209550"/>
          <a:ext cx="621531" cy="682622"/>
        </a:xfrm>
        <a:prstGeom prst="rect">
          <a:avLst/>
        </a:prstGeom>
      </xdr:spPr>
    </xdr:pic>
    <xdr:clientData/>
  </xdr:twoCellAnchor>
  <xdr:twoCellAnchor editAs="oneCell">
    <xdr:from>
      <xdr:col>15</xdr:col>
      <xdr:colOff>73625</xdr:colOff>
      <xdr:row>4</xdr:row>
      <xdr:rowOff>443464</xdr:rowOff>
    </xdr:from>
    <xdr:to>
      <xdr:col>28</xdr:col>
      <xdr:colOff>66672</xdr:colOff>
      <xdr:row>4</xdr:row>
      <xdr:rowOff>715815</xdr:rowOff>
    </xdr:to>
    <xdr:sp>
      <xdr:nvSpPr>
        <xdr:cNvPr id="36" name="Text Box 66"/>
        <xdr:cNvSpPr txBox="1">
          <a:spLocks noChangeArrowheads="1"/>
        </xdr:cNvSpPr>
      </xdr:nvSpPr>
      <xdr:spPr bwMode="auto">
        <a:xfrm flipH="0" flipV="0">
          <a:off x="8046050" y="1738864"/>
          <a:ext cx="4946046" cy="272350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/>
        <a:lstStyle/>
        <a:p>
          <a:pPr>
            <a:defRPr/>
          </a:pPr>
          <a:r>
            <a:rPr lang="es-MX"/>
            <a:t>Dirección General C5i</a:t>
          </a:r>
          <a:endParaRPr lang="es-MX"/>
        </a:p>
      </xdr:txBody>
    </xdr:sp>
    <xdr:clientData/>
  </xdr:twoCellAnchor>
  <xdr:twoCellAnchor editAs="oneCell">
    <xdr:from>
      <xdr:col>15</xdr:col>
      <xdr:colOff>41007</xdr:colOff>
      <xdr:row>4</xdr:row>
      <xdr:rowOff>142609</xdr:rowOff>
    </xdr:from>
    <xdr:to>
      <xdr:col>19</xdr:col>
      <xdr:colOff>346361</xdr:colOff>
      <xdr:row>4</xdr:row>
      <xdr:rowOff>404091</xdr:rowOff>
    </xdr:to>
    <xdr:sp>
      <xdr:nvSpPr>
        <xdr:cNvPr id="37" name="Text Box 95"/>
        <xdr:cNvSpPr txBox="1">
          <a:spLocks noChangeArrowheads="1"/>
        </xdr:cNvSpPr>
      </xdr:nvSpPr>
      <xdr:spPr bwMode="auto">
        <a:xfrm>
          <a:off x="8013432" y="1438009"/>
          <a:ext cx="1829353" cy="261480"/>
        </a:xfrm>
        <a:prstGeom prst="rect">
          <a:avLst/>
        </a:prstGeom>
        <a:solidFill>
          <a:srgbClr val="00B0F0"/>
        </a:solidFill>
        <a:ln>
          <a:noFill/>
        </a:ln>
        <a:effectLst/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s-MX" sz="1000"/>
            <a:t>Ing. Sistemas Computacionales</a:t>
          </a:r>
          <a:endParaRPr lang="es-MX"/>
        </a:p>
      </xdr:txBody>
    </xdr:sp>
    <xdr:clientData/>
  </xdr:twoCellAnchor>
  <xdr:twoCellAnchor editAs="oneCell">
    <xdr:from>
      <xdr:col>15</xdr:col>
      <xdr:colOff>72758</xdr:colOff>
      <xdr:row>2</xdr:row>
      <xdr:rowOff>132025</xdr:rowOff>
    </xdr:from>
    <xdr:to>
      <xdr:col>28</xdr:col>
      <xdr:colOff>66672</xdr:colOff>
      <xdr:row>4</xdr:row>
      <xdr:rowOff>57724</xdr:rowOff>
    </xdr:to>
    <xdr:sp>
      <xdr:nvSpPr>
        <xdr:cNvPr id="38" name="Text Box 196"/>
        <xdr:cNvSpPr txBox="1">
          <a:spLocks noChangeArrowheads="1"/>
        </xdr:cNvSpPr>
      </xdr:nvSpPr>
      <xdr:spPr bwMode="auto">
        <a:xfrm flipH="0" flipV="0">
          <a:off x="8045183" y="1065475"/>
          <a:ext cx="4946913" cy="287648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/>
        <a:lstStyle/>
        <a:p>
          <a:pPr marL="0" indent="0">
            <a:defRPr/>
          </a:pPr>
          <a:r>
            <a:rPr lang="en-US" sz="1100">
              <a:latin typeface="+mn-lt"/>
              <a:ea typeface="+mn-lt"/>
              <a:cs typeface="+mn-lt"/>
            </a:rPr>
            <a:t>Ramírez Cano Héctor Miguel /20240578 / Ago-Dic 2025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20</xdr:col>
      <xdr:colOff>104247</xdr:colOff>
      <xdr:row>4</xdr:row>
      <xdr:rowOff>133084</xdr:rowOff>
    </xdr:from>
    <xdr:to>
      <xdr:col>23</xdr:col>
      <xdr:colOff>79374</xdr:colOff>
      <xdr:row>4</xdr:row>
      <xdr:rowOff>361947</xdr:rowOff>
    </xdr:to>
    <xdr:sp>
      <xdr:nvSpPr>
        <xdr:cNvPr id="41" name="Text Box 195"/>
        <xdr:cNvSpPr txBox="1">
          <a:spLocks noChangeArrowheads="1"/>
        </xdr:cNvSpPr>
      </xdr:nvSpPr>
      <xdr:spPr bwMode="auto">
        <a:xfrm>
          <a:off x="9981671" y="1428484"/>
          <a:ext cx="1118127" cy="22886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2286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>
            <a:defRPr sz="1000"/>
          </a:pPr>
          <a:r>
            <a:rPr lang="es-MX" sz="800" b="1" i="0" u="none" strike="noStrike">
              <a:solidFill>
                <a:srgbClr val="000000"/>
              </a:solidFill>
              <a:latin typeface="Arial"/>
              <a:cs typeface="Arial"/>
            </a:rPr>
            <a:t>CORREO DEL ALUMNO:</a:t>
          </a:r>
          <a:endParaRPr/>
        </a:p>
      </xdr:txBody>
    </xdr:sp>
    <xdr:clientData/>
  </xdr:twoCellAnchor>
  <xdr:twoCellAnchor editAs="oneCell">
    <xdr:from>
      <xdr:col>23</xdr:col>
      <xdr:colOff>219073</xdr:colOff>
      <xdr:row>4</xdr:row>
      <xdr:rowOff>114300</xdr:rowOff>
    </xdr:from>
    <xdr:to>
      <xdr:col>28</xdr:col>
      <xdr:colOff>66672</xdr:colOff>
      <xdr:row>4</xdr:row>
      <xdr:rowOff>361947</xdr:rowOff>
    </xdr:to>
    <xdr:sp>
      <xdr:nvSpPr>
        <xdr:cNvPr id="42" name="Text Box 196"/>
        <xdr:cNvSpPr txBox="1">
          <a:spLocks noChangeArrowheads="1"/>
        </xdr:cNvSpPr>
      </xdr:nvSpPr>
      <xdr:spPr bwMode="auto">
        <a:xfrm>
          <a:off x="11239498" y="1409699"/>
          <a:ext cx="1752598" cy="247647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/>
        <a:lstStyle/>
        <a:p>
          <a:pPr marL="0" indent="0"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20240578@leon.tecnm.mx</a:t>
          </a:r>
          <a:endParaRPr lang="en-US" sz="11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76198</xdr:colOff>
      <xdr:row>0</xdr:row>
      <xdr:rowOff>69142</xdr:rowOff>
    </xdr:from>
    <xdr:to>
      <xdr:col>8</xdr:col>
      <xdr:colOff>28573</xdr:colOff>
      <xdr:row>1</xdr:row>
      <xdr:rowOff>94542</xdr:rowOff>
    </xdr:to>
    <xdr:pic>
      <xdr:nvPicPr>
        <xdr:cNvPr id="46" name="Imagen 45"/>
        <xdr:cNvPicPr/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 bwMode="auto">
        <a:xfrm flipH="0" flipV="0">
          <a:off x="76198" y="69142"/>
          <a:ext cx="5581649" cy="7778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90" workbookViewId="0">
      <pane xSplit="8" ySplit="7" topLeftCell="I8" activePane="bottomRight" state="frozen"/>
      <selection activeCell="C8" activeCellId="0" sqref="C8"/>
    </sheetView>
  </sheetViews>
  <sheetFormatPr baseColWidth="10" defaultColWidth="11.453125" defaultRowHeight="14.25"/>
  <cols>
    <col customWidth="1" min="1" max="1" width="5.81640625"/>
    <col customWidth="1" min="2" max="2" width="5.7265625"/>
    <col customWidth="1" min="3" max="3" width="36.81640625"/>
    <col customWidth="1" min="4" max="4" width="0.81640625"/>
    <col customWidth="1" min="7" max="7" width="0.81640625"/>
    <col customWidth="1" min="8" max="8" width="11.453125"/>
    <col customWidth="1" min="9" max="9" width="0.81640625"/>
    <col customWidth="1" min="10" max="69" width="5.7265625"/>
    <col customWidth="1" min="73" max="73" width="43"/>
    <col customWidth="1" min="74" max="74" width="42.81640625"/>
  </cols>
  <sheetData>
    <row r="1" ht="59.25" customHeight="1">
      <c r="A1" s="1"/>
      <c r="B1" s="2"/>
      <c r="C1" s="2"/>
      <c r="D1" s="2"/>
      <c r="E1" s="2"/>
      <c r="F1" s="2"/>
      <c r="G1" s="2"/>
      <c r="H1" s="2"/>
      <c r="I1" s="2"/>
      <c r="J1" s="3" t="s">
        <v>0</v>
      </c>
      <c r="K1" s="3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</row>
    <row r="3">
      <c r="A3" s="1"/>
      <c r="B3" s="1"/>
      <c r="C3" s="5"/>
      <c r="D3" s="5"/>
      <c r="E3" s="5"/>
      <c r="F3" s="5"/>
      <c r="G3" s="5"/>
      <c r="H3" s="5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5"/>
      <c r="BN3" s="5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</row>
    <row r="4">
      <c r="A4" s="1"/>
      <c r="B4" s="1"/>
      <c r="C4" s="5"/>
      <c r="D4" s="5"/>
      <c r="E4" s="5"/>
      <c r="F4" s="5"/>
      <c r="G4" s="5"/>
      <c r="H4" s="5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5"/>
      <c r="BN4" s="5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</row>
    <row r="5" ht="61.5" customHeight="1">
      <c r="A5" s="6"/>
      <c r="B5" s="6"/>
      <c r="C5" s="5"/>
      <c r="D5" s="5"/>
      <c r="E5" s="5"/>
      <c r="F5" s="5"/>
      <c r="G5" s="5"/>
      <c r="H5" s="5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5"/>
      <c r="BN5" s="5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</row>
    <row r="6" ht="15.75" customHeight="1">
      <c r="A6" s="7" t="s">
        <v>1</v>
      </c>
      <c r="B6" s="8" t="s">
        <v>2</v>
      </c>
      <c r="C6" s="9" t="s">
        <v>3</v>
      </c>
      <c r="D6" s="10"/>
      <c r="E6" s="11" t="s">
        <v>4</v>
      </c>
      <c r="F6" s="12"/>
      <c r="G6" s="10"/>
      <c r="H6" s="13" t="s">
        <v>5</v>
      </c>
      <c r="I6" s="14"/>
      <c r="J6" s="15" t="s">
        <v>6</v>
      </c>
      <c r="K6" s="16"/>
      <c r="L6" s="17" t="s">
        <v>7</v>
      </c>
      <c r="M6" s="18"/>
      <c r="N6" s="18"/>
      <c r="O6" s="18"/>
      <c r="P6" s="19"/>
      <c r="Q6" s="20" t="s">
        <v>8</v>
      </c>
      <c r="R6" s="21"/>
      <c r="S6" s="21"/>
      <c r="T6" s="21"/>
      <c r="U6" s="22"/>
      <c r="V6" s="23" t="s">
        <v>9</v>
      </c>
      <c r="W6" s="15"/>
      <c r="X6" s="15"/>
      <c r="Y6" s="15"/>
      <c r="Z6" s="16"/>
      <c r="AA6" s="17" t="s">
        <v>10</v>
      </c>
      <c r="AB6" s="18"/>
      <c r="AC6" s="18"/>
      <c r="AD6" s="18"/>
      <c r="AE6" s="19"/>
      <c r="AF6" s="20" t="s">
        <v>11</v>
      </c>
      <c r="AG6" s="21"/>
      <c r="AH6" s="21"/>
      <c r="AI6" s="21"/>
      <c r="AJ6" s="22"/>
      <c r="AK6" s="23" t="s">
        <v>12</v>
      </c>
      <c r="AL6" s="15"/>
      <c r="AM6" s="15"/>
      <c r="AN6" s="15"/>
      <c r="AO6" s="15"/>
      <c r="AP6" s="24" t="s">
        <v>13</v>
      </c>
      <c r="AQ6" s="25"/>
      <c r="AR6" s="26"/>
      <c r="AS6" s="27" t="s">
        <v>14</v>
      </c>
      <c r="AT6" s="27" t="s">
        <v>15</v>
      </c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</row>
    <row r="7" ht="15">
      <c r="A7" s="28"/>
      <c r="B7" s="29"/>
      <c r="C7" s="30" t="s">
        <v>16</v>
      </c>
      <c r="D7" s="31"/>
      <c r="E7" s="32" t="s">
        <v>17</v>
      </c>
      <c r="F7" s="33" t="s">
        <v>18</v>
      </c>
      <c r="G7" s="31"/>
      <c r="H7" s="34"/>
      <c r="I7" s="35"/>
      <c r="J7" s="36">
        <v>25</v>
      </c>
      <c r="K7" s="37">
        <v>26</v>
      </c>
      <c r="L7" s="38">
        <v>27</v>
      </c>
      <c r="M7" s="36">
        <v>28</v>
      </c>
      <c r="N7" s="36">
        <v>29</v>
      </c>
      <c r="O7" s="36">
        <v>30</v>
      </c>
      <c r="P7" s="39">
        <v>31</v>
      </c>
      <c r="Q7" s="40"/>
      <c r="R7" s="36">
        <v>32</v>
      </c>
      <c r="S7" s="36">
        <v>33</v>
      </c>
      <c r="T7" s="36">
        <v>34</v>
      </c>
      <c r="U7" s="39">
        <v>35</v>
      </c>
      <c r="V7" s="40"/>
      <c r="W7" s="36">
        <v>36</v>
      </c>
      <c r="X7" s="36">
        <v>37</v>
      </c>
      <c r="Y7" s="36">
        <v>38</v>
      </c>
      <c r="Z7" s="37">
        <v>39</v>
      </c>
      <c r="AA7" s="38">
        <v>40</v>
      </c>
      <c r="AB7" s="36">
        <v>41</v>
      </c>
      <c r="AC7" s="36">
        <v>42</v>
      </c>
      <c r="AD7" s="36">
        <v>43</v>
      </c>
      <c r="AE7" s="39">
        <v>44</v>
      </c>
      <c r="AF7" s="40"/>
      <c r="AG7" s="36">
        <v>45</v>
      </c>
      <c r="AH7" s="36">
        <v>46</v>
      </c>
      <c r="AI7" s="36">
        <v>47</v>
      </c>
      <c r="AJ7" s="37">
        <v>48</v>
      </c>
      <c r="AK7" s="38">
        <v>49</v>
      </c>
      <c r="AL7" s="36">
        <v>50</v>
      </c>
      <c r="AM7" s="36">
        <v>51</v>
      </c>
      <c r="AN7" s="39">
        <v>52</v>
      </c>
      <c r="AO7" s="40"/>
      <c r="AP7" s="41" t="s">
        <v>19</v>
      </c>
      <c r="AQ7" s="41" t="s">
        <v>20</v>
      </c>
      <c r="AR7" s="41" t="s">
        <v>21</v>
      </c>
      <c r="AS7" s="42"/>
      <c r="AT7" s="42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</row>
    <row r="8" ht="15">
      <c r="A8" s="45" t="s">
        <v>22</v>
      </c>
      <c r="B8" s="46">
        <v>1</v>
      </c>
      <c r="C8" s="47" t="s">
        <v>23</v>
      </c>
      <c r="D8" s="48"/>
      <c r="E8" s="49">
        <v>25</v>
      </c>
      <c r="F8" s="50">
        <v>25</v>
      </c>
      <c r="G8" s="51"/>
      <c r="H8" s="52">
        <f t="shared" ref="H8:H9" si="0">(COUNTIF(J8:AO8,"OK")*100)/((F8-E8)+1)</f>
        <v>100</v>
      </c>
      <c r="I8" s="53"/>
      <c r="J8" s="54" t="s">
        <v>24</v>
      </c>
      <c r="K8" s="55"/>
      <c r="L8" s="55"/>
      <c r="M8" s="55"/>
      <c r="N8" s="55"/>
      <c r="O8" s="55"/>
      <c r="P8" s="56"/>
      <c r="Q8" s="57"/>
      <c r="R8" s="55"/>
      <c r="S8" s="55"/>
      <c r="T8" s="55"/>
      <c r="U8" s="56"/>
      <c r="V8" s="57"/>
      <c r="W8" s="55"/>
      <c r="X8" s="55"/>
      <c r="Y8" s="55"/>
      <c r="Z8" s="55"/>
      <c r="AA8" s="55"/>
      <c r="AB8" s="55"/>
      <c r="AC8" s="55"/>
      <c r="AD8" s="55"/>
      <c r="AE8" s="56"/>
      <c r="AF8" s="57"/>
      <c r="AG8" s="55"/>
      <c r="AH8" s="55"/>
      <c r="AI8" s="55"/>
      <c r="AJ8" s="55"/>
      <c r="AK8" s="55"/>
      <c r="AL8" s="55"/>
      <c r="AM8" s="55"/>
      <c r="AN8" s="56"/>
      <c r="AO8" s="57"/>
      <c r="AP8" s="58">
        <f t="shared" ref="AP8:AP9" si="1">COUNTIF($J8:$AO8,"OK")</f>
        <v>1</v>
      </c>
      <c r="AQ8" s="58">
        <f t="shared" ref="AQ8:AQ9" si="2">COUNTIF($J8:$AO8,"P")</f>
        <v>0</v>
      </c>
      <c r="AR8" s="58">
        <f t="shared" ref="AR8:AR9" si="3">COUNTIF($J8:$AO8,"A")</f>
        <v>0</v>
      </c>
      <c r="AS8" s="59"/>
      <c r="AT8" s="59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</row>
    <row r="9" ht="22.5">
      <c r="A9" s="62"/>
      <c r="B9" s="63">
        <v>2</v>
      </c>
      <c r="C9" s="64" t="s">
        <v>25</v>
      </c>
      <c r="D9" s="48"/>
      <c r="E9" s="49">
        <v>26</v>
      </c>
      <c r="F9" s="50">
        <v>26</v>
      </c>
      <c r="G9" s="51"/>
      <c r="H9" s="52">
        <f t="shared" si="0"/>
        <v>0</v>
      </c>
      <c r="I9" s="53"/>
      <c r="J9" s="55"/>
      <c r="K9" s="54" t="s">
        <v>26</v>
      </c>
      <c r="L9" s="55"/>
      <c r="M9" s="55"/>
      <c r="N9" s="55"/>
      <c r="O9" s="55"/>
      <c r="P9" s="56"/>
      <c r="Q9" s="57"/>
      <c r="R9" s="55"/>
      <c r="S9" s="55"/>
      <c r="T9" s="55"/>
      <c r="U9" s="56"/>
      <c r="V9" s="57"/>
      <c r="W9" s="55"/>
      <c r="X9" s="55"/>
      <c r="Y9" s="55"/>
      <c r="Z9" s="55"/>
      <c r="AA9" s="55"/>
      <c r="AB9" s="55"/>
      <c r="AC9" s="55"/>
      <c r="AD9" s="55"/>
      <c r="AE9" s="56"/>
      <c r="AF9" s="57"/>
      <c r="AG9" s="55"/>
      <c r="AH9" s="55"/>
      <c r="AI9" s="55"/>
      <c r="AJ9" s="55"/>
      <c r="AK9" s="55"/>
      <c r="AL9" s="55"/>
      <c r="AM9" s="55"/>
      <c r="AN9" s="56"/>
      <c r="AO9" s="57"/>
      <c r="AP9" s="58">
        <f t="shared" si="1"/>
        <v>0</v>
      </c>
      <c r="AQ9" s="58">
        <f t="shared" si="2"/>
        <v>0</v>
      </c>
      <c r="AR9" s="58">
        <f t="shared" si="3"/>
        <v>0</v>
      </c>
      <c r="AS9" s="59"/>
      <c r="AT9" s="59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</row>
    <row r="10" ht="22.5">
      <c r="A10" s="62"/>
      <c r="B10" s="63">
        <v>3</v>
      </c>
      <c r="C10" s="65" t="s">
        <v>27</v>
      </c>
      <c r="D10" s="48"/>
      <c r="E10" s="49">
        <v>26</v>
      </c>
      <c r="F10" s="50">
        <v>26</v>
      </c>
      <c r="G10" s="51"/>
      <c r="H10" s="52">
        <f t="shared" ref="H10:H35" si="4">(COUNTIF(J10:AO10,"OK")*100)/((F10-E10)+1)</f>
        <v>0</v>
      </c>
      <c r="I10" s="53"/>
      <c r="J10" s="55"/>
      <c r="K10" s="54" t="s">
        <v>26</v>
      </c>
      <c r="L10" s="55"/>
      <c r="M10" s="55"/>
      <c r="N10" s="55"/>
      <c r="O10" s="55"/>
      <c r="P10" s="56"/>
      <c r="Q10" s="57"/>
      <c r="R10" s="55"/>
      <c r="S10" s="55"/>
      <c r="T10" s="55"/>
      <c r="U10" s="56"/>
      <c r="V10" s="57"/>
      <c r="W10" s="55"/>
      <c r="X10" s="55"/>
      <c r="Y10" s="55"/>
      <c r="Z10" s="55"/>
      <c r="AA10" s="55"/>
      <c r="AB10" s="55"/>
      <c r="AC10" s="55"/>
      <c r="AD10" s="55"/>
      <c r="AE10" s="56"/>
      <c r="AF10" s="57"/>
      <c r="AG10" s="55"/>
      <c r="AH10" s="55"/>
      <c r="AI10" s="55"/>
      <c r="AJ10" s="55"/>
      <c r="AK10" s="55"/>
      <c r="AL10" s="55"/>
      <c r="AM10" s="55"/>
      <c r="AN10" s="56"/>
      <c r="AO10" s="57"/>
      <c r="AP10" s="58">
        <f>COUNTIF($J10:$AO10,"OK")</f>
        <v>0</v>
      </c>
      <c r="AQ10" s="58">
        <f>COUNTIF($J10:$AO10,"P")</f>
        <v>0</v>
      </c>
      <c r="AR10" s="58">
        <f>COUNTIF($J10:$AO10,"A")</f>
        <v>0</v>
      </c>
      <c r="AS10" s="59"/>
      <c r="AT10" s="59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</row>
    <row r="11" ht="15">
      <c r="A11" s="62"/>
      <c r="B11" s="63">
        <v>4</v>
      </c>
      <c r="C11" s="65" t="s">
        <v>28</v>
      </c>
      <c r="D11" s="48"/>
      <c r="E11" s="49">
        <v>26</v>
      </c>
      <c r="F11" s="50">
        <v>26</v>
      </c>
      <c r="G11" s="51"/>
      <c r="H11" s="52">
        <f t="shared" si="4"/>
        <v>0</v>
      </c>
      <c r="I11" s="53"/>
      <c r="J11" s="55"/>
      <c r="K11" s="54" t="s">
        <v>26</v>
      </c>
      <c r="L11" s="55"/>
      <c r="M11" s="55"/>
      <c r="N11" s="55"/>
      <c r="O11" s="55"/>
      <c r="P11" s="55"/>
      <c r="Q11" s="66"/>
      <c r="R11" s="55"/>
      <c r="S11" s="55"/>
      <c r="T11" s="55"/>
      <c r="U11" s="55"/>
      <c r="V11" s="66"/>
      <c r="W11" s="55"/>
      <c r="X11" s="55"/>
      <c r="Y11" s="55"/>
      <c r="Z11" s="55"/>
      <c r="AA11" s="55"/>
      <c r="AB11" s="55"/>
      <c r="AC11" s="55"/>
      <c r="AD11" s="55"/>
      <c r="AE11" s="55"/>
      <c r="AF11" s="66"/>
      <c r="AG11" s="55"/>
      <c r="AH11" s="55"/>
      <c r="AI11" s="55"/>
      <c r="AJ11" s="55"/>
      <c r="AK11" s="55"/>
      <c r="AL11" s="55"/>
      <c r="AM11" s="55"/>
      <c r="AN11" s="55"/>
      <c r="AO11" s="66"/>
      <c r="AP11" s="58"/>
      <c r="AQ11" s="58"/>
      <c r="AR11" s="58"/>
      <c r="AS11" s="59"/>
      <c r="AT11" s="59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</row>
    <row r="12" ht="22.5">
      <c r="A12" s="62"/>
      <c r="B12" s="63">
        <v>5</v>
      </c>
      <c r="C12" s="65" t="s">
        <v>29</v>
      </c>
      <c r="D12" s="48"/>
      <c r="E12" s="49">
        <v>25</v>
      </c>
      <c r="F12" s="50">
        <v>26</v>
      </c>
      <c r="G12" s="51"/>
      <c r="H12" s="52">
        <f t="shared" si="4"/>
        <v>0</v>
      </c>
      <c r="I12" s="53"/>
      <c r="J12" s="55"/>
      <c r="K12" s="54" t="s">
        <v>26</v>
      </c>
      <c r="L12" s="55"/>
      <c r="M12" s="55"/>
      <c r="N12" s="55"/>
      <c r="O12" s="55"/>
      <c r="P12" s="55"/>
      <c r="Q12" s="66"/>
      <c r="R12" s="55"/>
      <c r="S12" s="55"/>
      <c r="T12" s="55"/>
      <c r="U12" s="55"/>
      <c r="V12" s="66"/>
      <c r="W12" s="55"/>
      <c r="X12" s="55"/>
      <c r="Y12" s="55"/>
      <c r="Z12" s="55"/>
      <c r="AA12" s="55"/>
      <c r="AB12" s="55"/>
      <c r="AC12" s="55"/>
      <c r="AD12" s="55"/>
      <c r="AE12" s="55"/>
      <c r="AF12" s="66"/>
      <c r="AG12" s="55"/>
      <c r="AH12" s="55"/>
      <c r="AI12" s="55"/>
      <c r="AJ12" s="55"/>
      <c r="AK12" s="55"/>
      <c r="AL12" s="55"/>
      <c r="AM12" s="55"/>
      <c r="AN12" s="55"/>
      <c r="AO12" s="66"/>
      <c r="AP12" s="58"/>
      <c r="AQ12" s="58"/>
      <c r="AR12" s="58"/>
      <c r="AS12" s="59"/>
      <c r="AT12" s="59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</row>
    <row r="13" ht="22.5">
      <c r="A13" s="62"/>
      <c r="B13" s="63">
        <v>6</v>
      </c>
      <c r="C13" s="65" t="s">
        <v>30</v>
      </c>
      <c r="D13" s="48"/>
      <c r="E13" s="49">
        <v>25</v>
      </c>
      <c r="F13" s="50">
        <v>26</v>
      </c>
      <c r="G13" s="51"/>
      <c r="H13" s="52">
        <f t="shared" si="4"/>
        <v>0</v>
      </c>
      <c r="I13" s="53"/>
      <c r="J13" s="55"/>
      <c r="K13" s="54" t="s">
        <v>26</v>
      </c>
      <c r="L13" s="55"/>
      <c r="M13" s="55"/>
      <c r="N13" s="55"/>
      <c r="O13" s="55"/>
      <c r="P13" s="55"/>
      <c r="Q13" s="66"/>
      <c r="R13" s="55"/>
      <c r="S13" s="55"/>
      <c r="T13" s="55"/>
      <c r="U13" s="55"/>
      <c r="V13" s="66"/>
      <c r="W13" s="55"/>
      <c r="X13" s="55"/>
      <c r="Y13" s="55"/>
      <c r="Z13" s="55"/>
      <c r="AA13" s="55"/>
      <c r="AB13" s="55"/>
      <c r="AC13" s="55"/>
      <c r="AD13" s="55"/>
      <c r="AE13" s="55"/>
      <c r="AF13" s="66"/>
      <c r="AG13" s="55"/>
      <c r="AH13" s="55"/>
      <c r="AI13" s="55"/>
      <c r="AJ13" s="55"/>
      <c r="AK13" s="55"/>
      <c r="AL13" s="55"/>
      <c r="AM13" s="55"/>
      <c r="AN13" s="55"/>
      <c r="AO13" s="66"/>
      <c r="AP13" s="58"/>
      <c r="AQ13" s="58"/>
      <c r="AR13" s="58"/>
      <c r="AS13" s="59"/>
      <c r="AT13" s="59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</row>
    <row r="14" ht="15">
      <c r="A14" s="62"/>
      <c r="B14" s="63">
        <v>7</v>
      </c>
      <c r="C14" s="67" t="s">
        <v>31</v>
      </c>
      <c r="D14" s="48"/>
      <c r="E14" s="49">
        <v>25</v>
      </c>
      <c r="F14" s="50">
        <v>26</v>
      </c>
      <c r="G14" s="51"/>
      <c r="H14" s="52">
        <f t="shared" si="4"/>
        <v>50</v>
      </c>
      <c r="I14" s="53"/>
      <c r="J14" s="55"/>
      <c r="K14" s="54" t="s">
        <v>24</v>
      </c>
      <c r="L14" s="55"/>
      <c r="M14" s="55"/>
      <c r="N14" s="55"/>
      <c r="O14" s="55"/>
      <c r="P14" s="56"/>
      <c r="Q14" s="57"/>
      <c r="R14" s="55"/>
      <c r="S14" s="55"/>
      <c r="T14" s="55"/>
      <c r="U14" s="56"/>
      <c r="V14" s="57"/>
      <c r="W14" s="55"/>
      <c r="X14" s="55"/>
      <c r="Y14" s="55"/>
      <c r="Z14" s="55"/>
      <c r="AA14" s="55"/>
      <c r="AB14" s="55"/>
      <c r="AC14" s="55"/>
      <c r="AD14" s="55"/>
      <c r="AE14" s="56"/>
      <c r="AF14" s="57"/>
      <c r="AG14" s="55"/>
      <c r="AH14" s="55"/>
      <c r="AI14" s="55"/>
      <c r="AJ14" s="55"/>
      <c r="AK14" s="55"/>
      <c r="AL14" s="55"/>
      <c r="AM14" s="55"/>
      <c r="AN14" s="56"/>
      <c r="AO14" s="57"/>
      <c r="AP14" s="58">
        <f>COUNTIF($J14:$AO14,"OK")</f>
        <v>1</v>
      </c>
      <c r="AQ14" s="58">
        <f>COUNTIF($J14:$AO14,"P")</f>
        <v>0</v>
      </c>
      <c r="AR14" s="58">
        <f>COUNTIF($J14:$AO14,"A")</f>
        <v>0</v>
      </c>
      <c r="AS14" s="59"/>
      <c r="AT14" s="59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</row>
    <row r="15" ht="15">
      <c r="A15" s="68"/>
      <c r="B15" s="69">
        <f>IF(OR(SUM(H8:H14)&lt;1,SUM(E8:E14)&lt;1,SUM(F8:F14)&lt;1),NA(),SUM(H8:H14)/COUNTA(C8:C14))</f>
        <v>21.428571428571427</v>
      </c>
      <c r="C15" s="69"/>
      <c r="D15" s="70"/>
      <c r="E15" s="71"/>
      <c r="F15" s="72"/>
      <c r="G15" s="51"/>
      <c r="H15" s="73"/>
      <c r="I15" s="70"/>
      <c r="J15" s="74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6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</row>
    <row r="16" ht="15">
      <c r="A16" s="77" t="s">
        <v>32</v>
      </c>
      <c r="B16" s="78">
        <v>1</v>
      </c>
      <c r="C16" s="79" t="s">
        <v>33</v>
      </c>
      <c r="D16" s="48"/>
      <c r="E16" s="49">
        <v>27</v>
      </c>
      <c r="F16" s="50">
        <v>28</v>
      </c>
      <c r="G16" s="51"/>
      <c r="H16" s="52">
        <f t="shared" si="4"/>
        <v>100</v>
      </c>
      <c r="I16" s="53"/>
      <c r="J16" s="55"/>
      <c r="K16" s="55"/>
      <c r="L16" s="54" t="s">
        <v>24</v>
      </c>
      <c r="M16" s="54" t="s">
        <v>24</v>
      </c>
      <c r="N16" s="55"/>
      <c r="O16" s="55"/>
      <c r="P16" s="56"/>
      <c r="Q16" s="57"/>
      <c r="R16" s="55"/>
      <c r="S16" s="55"/>
      <c r="T16" s="55"/>
      <c r="U16" s="56"/>
      <c r="V16" s="57"/>
      <c r="W16" s="55"/>
      <c r="X16" s="55"/>
      <c r="Y16" s="55"/>
      <c r="Z16" s="55"/>
      <c r="AA16" s="55"/>
      <c r="AB16" s="55"/>
      <c r="AC16" s="55"/>
      <c r="AD16" s="55"/>
      <c r="AE16" s="56"/>
      <c r="AF16" s="57"/>
      <c r="AG16" s="55"/>
      <c r="AH16" s="55"/>
      <c r="AI16" s="55"/>
      <c r="AJ16" s="55"/>
      <c r="AK16" s="55"/>
      <c r="AL16" s="55"/>
      <c r="AM16" s="55"/>
      <c r="AN16" s="56"/>
      <c r="AO16" s="57"/>
      <c r="AP16" s="58">
        <f t="shared" ref="AP16:AP35" si="5">COUNTIF($J16:$AO16,"OK")</f>
        <v>2</v>
      </c>
      <c r="AQ16" s="58">
        <f t="shared" ref="AQ16:AQ35" si="6">COUNTIF($J16:$AO16,"P")</f>
        <v>0</v>
      </c>
      <c r="AR16" s="58">
        <f t="shared" ref="AR16:AR35" si="7">COUNTIF($J16:$AO16,"A")</f>
        <v>0</v>
      </c>
      <c r="AS16" s="59"/>
      <c r="AT16" s="59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</row>
    <row r="17" ht="15">
      <c r="A17" s="80"/>
      <c r="B17" s="81">
        <v>2</v>
      </c>
      <c r="C17" s="67" t="s">
        <v>34</v>
      </c>
      <c r="D17" s="48"/>
      <c r="E17" s="49">
        <v>27</v>
      </c>
      <c r="F17" s="50">
        <v>28</v>
      </c>
      <c r="G17" s="51"/>
      <c r="H17" s="52">
        <f t="shared" si="4"/>
        <v>100</v>
      </c>
      <c r="I17" s="53"/>
      <c r="J17" s="55"/>
      <c r="K17" s="55"/>
      <c r="L17" s="54" t="s">
        <v>24</v>
      </c>
      <c r="M17" s="54" t="s">
        <v>24</v>
      </c>
      <c r="N17" s="55"/>
      <c r="O17" s="55"/>
      <c r="P17" s="56"/>
      <c r="Q17" s="57"/>
      <c r="R17" s="55"/>
      <c r="S17" s="55"/>
      <c r="T17" s="55"/>
      <c r="U17" s="56"/>
      <c r="V17" s="57"/>
      <c r="W17" s="55"/>
      <c r="X17" s="55"/>
      <c r="Y17" s="55"/>
      <c r="Z17" s="55"/>
      <c r="AA17" s="55"/>
      <c r="AB17" s="55"/>
      <c r="AC17" s="55"/>
      <c r="AD17" s="55"/>
      <c r="AE17" s="56"/>
      <c r="AF17" s="57"/>
      <c r="AG17" s="55"/>
      <c r="AH17" s="55"/>
      <c r="AI17" s="55"/>
      <c r="AJ17" s="55"/>
      <c r="AK17" s="55"/>
      <c r="AL17" s="55"/>
      <c r="AM17" s="55"/>
      <c r="AN17" s="56"/>
      <c r="AO17" s="57"/>
      <c r="AP17" s="58">
        <f t="shared" si="5"/>
        <v>2</v>
      </c>
      <c r="AQ17" s="58">
        <f t="shared" si="6"/>
        <v>0</v>
      </c>
      <c r="AR17" s="58">
        <f t="shared" si="7"/>
        <v>0</v>
      </c>
      <c r="AS17" s="59"/>
      <c r="AT17" s="59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</row>
    <row r="18" ht="15">
      <c r="A18" s="80"/>
      <c r="B18" s="81">
        <v>3</v>
      </c>
      <c r="C18" s="82" t="s">
        <v>35</v>
      </c>
      <c r="D18" s="48"/>
      <c r="E18" s="49">
        <v>29</v>
      </c>
      <c r="F18" s="50">
        <v>46</v>
      </c>
      <c r="G18" s="51"/>
      <c r="H18" s="52">
        <f t="shared" si="4"/>
        <v>61.111111111111114</v>
      </c>
      <c r="I18" s="53"/>
      <c r="J18" s="55"/>
      <c r="K18" s="55"/>
      <c r="L18" s="55"/>
      <c r="M18" s="55"/>
      <c r="N18" s="54" t="s">
        <v>24</v>
      </c>
      <c r="O18" s="54" t="s">
        <v>24</v>
      </c>
      <c r="P18" s="54" t="s">
        <v>24</v>
      </c>
      <c r="Q18" s="54" t="s">
        <v>24</v>
      </c>
      <c r="R18" s="54" t="s">
        <v>24</v>
      </c>
      <c r="S18" s="54" t="s">
        <v>24</v>
      </c>
      <c r="T18" s="54" t="s">
        <v>24</v>
      </c>
      <c r="U18" s="54" t="s">
        <v>24</v>
      </c>
      <c r="V18" s="54" t="s">
        <v>24</v>
      </c>
      <c r="W18" s="54" t="s">
        <v>24</v>
      </c>
      <c r="X18" s="54" t="s">
        <v>36</v>
      </c>
      <c r="Y18" s="54"/>
      <c r="Z18" s="54"/>
      <c r="AA18" s="54"/>
      <c r="AB18" s="54"/>
      <c r="AC18" s="54"/>
      <c r="AD18" s="54"/>
      <c r="AE18" s="83"/>
      <c r="AF18" s="84"/>
      <c r="AG18" s="54"/>
      <c r="AH18" s="54"/>
      <c r="AI18" s="55"/>
      <c r="AJ18" s="55"/>
      <c r="AK18" s="55"/>
      <c r="AL18" s="55"/>
      <c r="AM18" s="55"/>
      <c r="AN18" s="56"/>
      <c r="AO18" s="57"/>
      <c r="AP18" s="58">
        <f t="shared" si="5"/>
        <v>11</v>
      </c>
      <c r="AQ18" s="58">
        <f t="shared" si="6"/>
        <v>0</v>
      </c>
      <c r="AR18" s="58">
        <f t="shared" si="7"/>
        <v>0</v>
      </c>
      <c r="AS18" s="59"/>
      <c r="AT18" s="59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</row>
    <row r="19" ht="15">
      <c r="A19" s="80"/>
      <c r="B19" s="81">
        <v>4</v>
      </c>
      <c r="C19" s="82" t="s">
        <v>37</v>
      </c>
      <c r="D19" s="48"/>
      <c r="E19" s="49">
        <v>29</v>
      </c>
      <c r="F19" s="50">
        <v>33</v>
      </c>
      <c r="G19" s="51"/>
      <c r="H19" s="52">
        <f t="shared" si="4"/>
        <v>40</v>
      </c>
      <c r="I19" s="53"/>
      <c r="J19" s="55"/>
      <c r="K19" s="55"/>
      <c r="L19" s="55"/>
      <c r="M19" s="55"/>
      <c r="N19" s="54" t="s">
        <v>24</v>
      </c>
      <c r="O19" s="54" t="s">
        <v>24</v>
      </c>
      <c r="P19" s="85" t="s">
        <v>38</v>
      </c>
      <c r="Q19" s="86" t="s">
        <v>38</v>
      </c>
      <c r="R19" s="85" t="s">
        <v>38</v>
      </c>
      <c r="S19" s="85" t="s">
        <v>38</v>
      </c>
      <c r="T19" s="55"/>
      <c r="U19" s="55"/>
      <c r="V19" s="66"/>
      <c r="W19" s="55"/>
      <c r="X19" s="55"/>
      <c r="Y19" s="55"/>
      <c r="Z19" s="55"/>
      <c r="AA19" s="55"/>
      <c r="AB19" s="55"/>
      <c r="AC19" s="55"/>
      <c r="AD19" s="55"/>
      <c r="AE19" s="55"/>
      <c r="AF19" s="66"/>
      <c r="AG19" s="55"/>
      <c r="AH19" s="55"/>
      <c r="AI19" s="55"/>
      <c r="AJ19" s="55"/>
      <c r="AK19" s="55"/>
      <c r="AL19" s="55"/>
      <c r="AM19" s="55"/>
      <c r="AN19" s="55"/>
      <c r="AO19" s="66"/>
      <c r="AP19" s="58"/>
      <c r="AQ19" s="58"/>
      <c r="AR19" s="58"/>
      <c r="AS19" s="59"/>
      <c r="AT19" s="59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</row>
    <row r="20" ht="15">
      <c r="A20" s="80"/>
      <c r="B20" s="81">
        <v>5</v>
      </c>
      <c r="C20" s="82" t="s">
        <v>39</v>
      </c>
      <c r="D20" s="48"/>
      <c r="E20" s="49">
        <v>34</v>
      </c>
      <c r="F20" s="50">
        <v>39</v>
      </c>
      <c r="G20" s="51"/>
      <c r="H20" s="52">
        <f t="shared" si="4"/>
        <v>66.666666666666671</v>
      </c>
      <c r="I20" s="53"/>
      <c r="J20" s="55"/>
      <c r="K20" s="55"/>
      <c r="L20" s="55"/>
      <c r="M20" s="55"/>
      <c r="N20" s="55"/>
      <c r="O20" s="55"/>
      <c r="P20" s="55"/>
      <c r="Q20" s="66"/>
      <c r="R20" s="55"/>
      <c r="S20" s="55"/>
      <c r="T20" s="54" t="s">
        <v>24</v>
      </c>
      <c r="U20" s="54" t="s">
        <v>24</v>
      </c>
      <c r="V20" s="54" t="s">
        <v>24</v>
      </c>
      <c r="W20" s="54" t="s">
        <v>24</v>
      </c>
      <c r="X20" s="85" t="s">
        <v>38</v>
      </c>
      <c r="Y20" s="85"/>
      <c r="Z20" s="85"/>
      <c r="AA20" s="55"/>
      <c r="AB20" s="55"/>
      <c r="AC20" s="55"/>
      <c r="AD20" s="55"/>
      <c r="AE20" s="55"/>
      <c r="AF20" s="66"/>
      <c r="AG20" s="55"/>
      <c r="AH20" s="55"/>
      <c r="AI20" s="55"/>
      <c r="AJ20" s="55"/>
      <c r="AK20" s="55"/>
      <c r="AL20" s="55"/>
      <c r="AM20" s="55"/>
      <c r="AN20" s="55"/>
      <c r="AO20" s="66"/>
      <c r="AP20" s="58"/>
      <c r="AQ20" s="58"/>
      <c r="AR20" s="58"/>
      <c r="AS20" s="59"/>
      <c r="AT20" s="59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</row>
    <row r="21" ht="15">
      <c r="A21" s="80"/>
      <c r="B21" s="81">
        <v>6</v>
      </c>
      <c r="C21" s="82" t="s">
        <v>40</v>
      </c>
      <c r="D21" s="48"/>
      <c r="E21" s="49">
        <v>40</v>
      </c>
      <c r="F21" s="50">
        <v>46</v>
      </c>
      <c r="G21" s="51"/>
      <c r="H21" s="52">
        <f t="shared" si="4"/>
        <v>0</v>
      </c>
      <c r="I21" s="53"/>
      <c r="J21" s="55"/>
      <c r="K21" s="55"/>
      <c r="L21" s="55"/>
      <c r="M21" s="55"/>
      <c r="N21" s="55"/>
      <c r="O21" s="55"/>
      <c r="P21" s="55"/>
      <c r="Q21" s="66"/>
      <c r="R21" s="55"/>
      <c r="S21" s="55"/>
      <c r="T21" s="55"/>
      <c r="U21" s="55"/>
      <c r="V21" s="66"/>
      <c r="W21" s="55"/>
      <c r="X21" s="55"/>
      <c r="Y21" s="55"/>
      <c r="Z21" s="55"/>
      <c r="AA21" s="85"/>
      <c r="AB21" s="85"/>
      <c r="AC21" s="85"/>
      <c r="AD21" s="85"/>
      <c r="AE21" s="87"/>
      <c r="AF21" s="88"/>
      <c r="AG21" s="85"/>
      <c r="AH21" s="85"/>
      <c r="AI21" s="55"/>
      <c r="AJ21" s="55"/>
      <c r="AK21" s="55"/>
      <c r="AL21" s="55"/>
      <c r="AM21" s="55"/>
      <c r="AN21" s="55"/>
      <c r="AO21" s="66"/>
      <c r="AP21" s="58"/>
      <c r="AQ21" s="58"/>
      <c r="AR21" s="58"/>
      <c r="AS21" s="59"/>
      <c r="AT21" s="59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</row>
    <row r="22" ht="15">
      <c r="A22" s="68"/>
      <c r="B22" s="69">
        <f>IF(OR(SUM(H16:H21)&lt;1,SUM(E16:E21)&lt;1,SUM(F16:F21)&lt;1),NA(),SUM(H16:H21)/COUNTA(C16:C21))</f>
        <v>61.296296296296298</v>
      </c>
      <c r="C22" s="69"/>
      <c r="D22" s="70"/>
      <c r="E22" s="89"/>
      <c r="F22" s="90"/>
      <c r="G22" s="51"/>
      <c r="H22" s="73"/>
      <c r="I22" s="70"/>
      <c r="J22" s="91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3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</row>
    <row r="23" ht="15">
      <c r="A23" s="94" t="s">
        <v>41</v>
      </c>
      <c r="B23" s="78">
        <v>1</v>
      </c>
      <c r="C23" s="79" t="s">
        <v>42</v>
      </c>
      <c r="D23" s="48"/>
      <c r="E23" s="49">
        <v>29</v>
      </c>
      <c r="F23" s="50">
        <v>46</v>
      </c>
      <c r="G23" s="51"/>
      <c r="H23" s="52">
        <f t="shared" si="4"/>
        <v>27.777777777777779</v>
      </c>
      <c r="I23" s="53"/>
      <c r="J23" s="55"/>
      <c r="K23" s="55"/>
      <c r="L23" s="55"/>
      <c r="M23" s="55"/>
      <c r="N23" s="54" t="s">
        <v>24</v>
      </c>
      <c r="O23" s="54" t="s">
        <v>24</v>
      </c>
      <c r="P23" s="54" t="s">
        <v>24</v>
      </c>
      <c r="Q23" s="54" t="s">
        <v>24</v>
      </c>
      <c r="R23" s="54" t="s">
        <v>24</v>
      </c>
      <c r="S23" s="85" t="s">
        <v>38</v>
      </c>
      <c r="T23" s="85" t="s">
        <v>38</v>
      </c>
      <c r="U23" s="85" t="s">
        <v>38</v>
      </c>
      <c r="V23" s="85" t="s">
        <v>38</v>
      </c>
      <c r="W23" s="85" t="s">
        <v>38</v>
      </c>
      <c r="X23" s="85" t="s">
        <v>38</v>
      </c>
      <c r="Y23" s="95"/>
      <c r="Z23" s="95"/>
      <c r="AA23" s="95"/>
      <c r="AB23" s="95"/>
      <c r="AC23" s="95"/>
      <c r="AD23" s="95"/>
      <c r="AE23" s="96"/>
      <c r="AF23" s="97"/>
      <c r="AG23" s="95"/>
      <c r="AH23" s="95"/>
      <c r="AI23" s="55"/>
      <c r="AJ23" s="55"/>
      <c r="AK23" s="55"/>
      <c r="AL23" s="55"/>
      <c r="AM23" s="55"/>
      <c r="AN23" s="56"/>
      <c r="AO23" s="57"/>
      <c r="AP23" s="58">
        <f t="shared" si="5"/>
        <v>5</v>
      </c>
      <c r="AQ23" s="58">
        <f t="shared" si="6"/>
        <v>6</v>
      </c>
      <c r="AR23" s="58">
        <f t="shared" si="7"/>
        <v>0</v>
      </c>
      <c r="AS23" s="59"/>
      <c r="AT23" s="59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</row>
    <row r="24" ht="22.5">
      <c r="A24" s="98"/>
      <c r="B24" s="81">
        <v>2</v>
      </c>
      <c r="C24" s="82" t="s">
        <v>43</v>
      </c>
      <c r="D24" s="48"/>
      <c r="E24" s="49">
        <v>29</v>
      </c>
      <c r="F24" s="50">
        <v>46</v>
      </c>
      <c r="G24" s="51"/>
      <c r="H24" s="52">
        <f t="shared" si="4"/>
        <v>61.111111111111114</v>
      </c>
      <c r="I24" s="53"/>
      <c r="J24" s="55"/>
      <c r="K24" s="55"/>
      <c r="L24" s="55"/>
      <c r="M24" s="55"/>
      <c r="N24" s="54" t="s">
        <v>24</v>
      </c>
      <c r="O24" s="54" t="s">
        <v>24</v>
      </c>
      <c r="P24" s="54" t="s">
        <v>24</v>
      </c>
      <c r="Q24" s="54" t="s">
        <v>24</v>
      </c>
      <c r="R24" s="54" t="s">
        <v>24</v>
      </c>
      <c r="S24" s="54" t="s">
        <v>24</v>
      </c>
      <c r="T24" s="54" t="s">
        <v>24</v>
      </c>
      <c r="U24" s="54" t="s">
        <v>24</v>
      </c>
      <c r="V24" s="54" t="s">
        <v>24</v>
      </c>
      <c r="W24" s="54" t="s">
        <v>24</v>
      </c>
      <c r="X24" s="95" t="s">
        <v>24</v>
      </c>
      <c r="Y24" s="95"/>
      <c r="Z24" s="95"/>
      <c r="AA24" s="95"/>
      <c r="AB24" s="95"/>
      <c r="AC24" s="95"/>
      <c r="AD24" s="95"/>
      <c r="AE24" s="96"/>
      <c r="AF24" s="97"/>
      <c r="AG24" s="95"/>
      <c r="AH24" s="95"/>
      <c r="AI24" s="55"/>
      <c r="AJ24" s="55"/>
      <c r="AK24" s="55"/>
      <c r="AL24" s="55"/>
      <c r="AM24" s="55"/>
      <c r="AN24" s="56"/>
      <c r="AO24" s="57"/>
      <c r="AP24" s="58">
        <f t="shared" si="5"/>
        <v>11</v>
      </c>
      <c r="AQ24" s="58">
        <f t="shared" si="6"/>
        <v>0</v>
      </c>
      <c r="AR24" s="58">
        <f t="shared" si="7"/>
        <v>0</v>
      </c>
      <c r="AS24" s="59"/>
      <c r="AT24" s="59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</row>
    <row r="25" ht="15">
      <c r="A25" s="98"/>
      <c r="B25" s="81">
        <v>3</v>
      </c>
      <c r="C25" s="99"/>
      <c r="D25" s="48"/>
      <c r="E25" s="49"/>
      <c r="F25" s="50"/>
      <c r="G25" s="51"/>
      <c r="H25" s="52">
        <f t="shared" si="4"/>
        <v>0</v>
      </c>
      <c r="I25" s="53"/>
      <c r="J25" s="55"/>
      <c r="K25" s="55"/>
      <c r="L25" s="55"/>
      <c r="M25" s="55"/>
      <c r="N25" s="55"/>
      <c r="O25" s="55"/>
      <c r="P25" s="56"/>
      <c r="Q25" s="57"/>
      <c r="R25" s="55"/>
      <c r="S25" s="55"/>
      <c r="T25" s="55"/>
      <c r="U25" s="56"/>
      <c r="V25" s="57"/>
      <c r="W25" s="55"/>
      <c r="X25" s="55"/>
      <c r="Y25" s="55"/>
      <c r="Z25" s="55"/>
      <c r="AA25" s="55"/>
      <c r="AB25" s="55"/>
      <c r="AC25" s="55"/>
      <c r="AD25" s="55"/>
      <c r="AE25" s="56"/>
      <c r="AF25" s="57"/>
      <c r="AG25" s="55"/>
      <c r="AH25" s="55"/>
      <c r="AI25" s="55"/>
      <c r="AJ25" s="55"/>
      <c r="AK25" s="55"/>
      <c r="AL25" s="55"/>
      <c r="AM25" s="55"/>
      <c r="AN25" s="56"/>
      <c r="AO25" s="57"/>
      <c r="AP25" s="58">
        <f t="shared" si="5"/>
        <v>0</v>
      </c>
      <c r="AQ25" s="58">
        <f t="shared" si="6"/>
        <v>0</v>
      </c>
      <c r="AR25" s="58">
        <f t="shared" si="7"/>
        <v>0</v>
      </c>
      <c r="AS25" s="59"/>
      <c r="AT25" s="59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</row>
    <row r="26" ht="15">
      <c r="A26" s="68"/>
      <c r="B26" s="69">
        <f>IF(OR(SUM(H23:H25)&lt;1,SUM(E23:E25)&lt;1,SUM(F23:F25)&lt;1),NA(),SUM(H23:H25)/COUNTA(C23:C25))</f>
        <v>44.444444444444443</v>
      </c>
      <c r="C26" s="69"/>
      <c r="D26" s="70"/>
      <c r="E26" s="89"/>
      <c r="F26" s="90"/>
      <c r="G26" s="51"/>
      <c r="H26" s="73"/>
      <c r="I26" s="70"/>
      <c r="J26" s="74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6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</row>
    <row r="27" ht="21">
      <c r="A27" s="45" t="s">
        <v>44</v>
      </c>
      <c r="B27" s="78">
        <v>1</v>
      </c>
      <c r="C27" s="100" t="s">
        <v>45</v>
      </c>
      <c r="D27" s="48"/>
      <c r="E27" s="49">
        <v>47</v>
      </c>
      <c r="F27" s="50">
        <v>48</v>
      </c>
      <c r="G27" s="51"/>
      <c r="H27" s="52">
        <f t="shared" si="4"/>
        <v>0</v>
      </c>
      <c r="I27" s="53"/>
      <c r="J27" s="55"/>
      <c r="K27" s="55"/>
      <c r="L27" s="55"/>
      <c r="M27" s="55"/>
      <c r="N27" s="55"/>
      <c r="O27" s="55"/>
      <c r="P27" s="56"/>
      <c r="Q27" s="57"/>
      <c r="R27" s="55"/>
      <c r="S27" s="55"/>
      <c r="T27" s="55"/>
      <c r="U27" s="56"/>
      <c r="V27" s="57"/>
      <c r="W27" s="55"/>
      <c r="X27" s="55"/>
      <c r="Y27" s="55"/>
      <c r="Z27" s="55"/>
      <c r="AA27" s="55"/>
      <c r="AB27" s="55"/>
      <c r="AC27" s="55"/>
      <c r="AD27" s="55"/>
      <c r="AE27" s="56"/>
      <c r="AF27" s="57"/>
      <c r="AG27" s="55"/>
      <c r="AH27" s="55"/>
      <c r="AI27" s="54"/>
      <c r="AJ27" s="54"/>
      <c r="AK27" s="55"/>
      <c r="AL27" s="55"/>
      <c r="AM27" s="55"/>
      <c r="AN27" s="56"/>
      <c r="AO27" s="57"/>
      <c r="AP27" s="58">
        <f t="shared" si="5"/>
        <v>0</v>
      </c>
      <c r="AQ27" s="58">
        <f t="shared" si="6"/>
        <v>0</v>
      </c>
      <c r="AR27" s="58">
        <f t="shared" si="7"/>
        <v>0</v>
      </c>
      <c r="AS27" s="59"/>
      <c r="AT27" s="59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</row>
    <row r="28" ht="15">
      <c r="A28" s="62"/>
      <c r="B28" s="81">
        <v>2</v>
      </c>
      <c r="C28" s="99" t="s">
        <v>46</v>
      </c>
      <c r="D28" s="48"/>
      <c r="E28" s="49"/>
      <c r="F28" s="50"/>
      <c r="G28" s="51"/>
      <c r="H28" s="52">
        <f t="shared" si="4"/>
        <v>0</v>
      </c>
      <c r="I28" s="53"/>
      <c r="J28" s="55"/>
      <c r="K28" s="55"/>
      <c r="L28" s="55"/>
      <c r="M28" s="55"/>
      <c r="N28" s="55"/>
      <c r="O28" s="55"/>
      <c r="P28" s="56"/>
      <c r="Q28" s="57"/>
      <c r="R28" s="55"/>
      <c r="S28" s="55"/>
      <c r="T28" s="55"/>
      <c r="U28" s="56"/>
      <c r="V28" s="57"/>
      <c r="W28" s="55"/>
      <c r="X28" s="55"/>
      <c r="Y28" s="55"/>
      <c r="Z28" s="55"/>
      <c r="AA28" s="55"/>
      <c r="AB28" s="55"/>
      <c r="AC28" s="55"/>
      <c r="AD28" s="55"/>
      <c r="AE28" s="56"/>
      <c r="AF28" s="57"/>
      <c r="AG28" s="55"/>
      <c r="AH28" s="55"/>
      <c r="AI28" s="55"/>
      <c r="AJ28" s="55"/>
      <c r="AK28" s="54"/>
      <c r="AL28" s="54"/>
      <c r="AM28" s="54"/>
      <c r="AN28" s="56"/>
      <c r="AO28" s="57"/>
      <c r="AP28" s="58">
        <f t="shared" si="5"/>
        <v>0</v>
      </c>
      <c r="AQ28" s="58">
        <f t="shared" si="6"/>
        <v>0</v>
      </c>
      <c r="AR28" s="58">
        <f t="shared" si="7"/>
        <v>0</v>
      </c>
      <c r="AS28" s="59"/>
      <c r="AT28" s="59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</row>
    <row r="29" ht="15">
      <c r="A29" s="62"/>
      <c r="B29" s="81">
        <v>3</v>
      </c>
      <c r="C29" s="99" t="s">
        <v>47</v>
      </c>
      <c r="D29" s="48"/>
      <c r="E29" s="49"/>
      <c r="F29" s="50"/>
      <c r="G29" s="51"/>
      <c r="H29" s="52">
        <f t="shared" si="4"/>
        <v>0</v>
      </c>
      <c r="I29" s="53"/>
      <c r="J29" s="55"/>
      <c r="K29" s="55"/>
      <c r="L29" s="55"/>
      <c r="M29" s="55"/>
      <c r="N29" s="55"/>
      <c r="O29" s="55"/>
      <c r="P29" s="56"/>
      <c r="Q29" s="57"/>
      <c r="R29" s="55"/>
      <c r="S29" s="55"/>
      <c r="T29" s="55"/>
      <c r="U29" s="56"/>
      <c r="V29" s="57"/>
      <c r="W29" s="55"/>
      <c r="X29" s="55"/>
      <c r="Y29" s="55"/>
      <c r="Z29" s="55"/>
      <c r="AA29" s="55"/>
      <c r="AB29" s="55"/>
      <c r="AC29" s="55"/>
      <c r="AD29" s="55"/>
      <c r="AE29" s="56"/>
      <c r="AF29" s="57"/>
      <c r="AG29" s="55"/>
      <c r="AH29" s="55"/>
      <c r="AI29" s="55"/>
      <c r="AJ29" s="55"/>
      <c r="AK29" s="54"/>
      <c r="AL29" s="54"/>
      <c r="AM29" s="54"/>
      <c r="AN29" s="56"/>
      <c r="AO29" s="57"/>
      <c r="AP29" s="58">
        <f t="shared" si="5"/>
        <v>0</v>
      </c>
      <c r="AQ29" s="58">
        <f t="shared" si="6"/>
        <v>0</v>
      </c>
      <c r="AR29" s="58">
        <f t="shared" si="7"/>
        <v>0</v>
      </c>
      <c r="AS29" s="59"/>
      <c r="AT29" s="59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</row>
    <row r="30" ht="15">
      <c r="A30" s="62"/>
      <c r="B30" s="81">
        <v>4</v>
      </c>
      <c r="C30" s="99"/>
      <c r="D30" s="48"/>
      <c r="E30" s="49"/>
      <c r="F30" s="50"/>
      <c r="G30" s="51"/>
      <c r="H30" s="52">
        <f t="shared" si="4"/>
        <v>0</v>
      </c>
      <c r="I30" s="53"/>
      <c r="J30" s="55"/>
      <c r="K30" s="55"/>
      <c r="L30" s="55"/>
      <c r="M30" s="55"/>
      <c r="N30" s="55"/>
      <c r="O30" s="55"/>
      <c r="P30" s="56"/>
      <c r="Q30" s="57"/>
      <c r="R30" s="55"/>
      <c r="S30" s="55"/>
      <c r="T30" s="55"/>
      <c r="U30" s="56"/>
      <c r="V30" s="57"/>
      <c r="W30" s="55"/>
      <c r="X30" s="55"/>
      <c r="Y30" s="55"/>
      <c r="Z30" s="55"/>
      <c r="AA30" s="55"/>
      <c r="AB30" s="55"/>
      <c r="AC30" s="55"/>
      <c r="AD30" s="55"/>
      <c r="AE30" s="56"/>
      <c r="AF30" s="57"/>
      <c r="AG30" s="55"/>
      <c r="AH30" s="55"/>
      <c r="AI30" s="55"/>
      <c r="AJ30" s="55"/>
      <c r="AK30" s="55"/>
      <c r="AL30" s="55"/>
      <c r="AM30" s="55"/>
      <c r="AN30" s="56"/>
      <c r="AO30" s="57"/>
      <c r="AP30" s="58">
        <f t="shared" si="5"/>
        <v>0</v>
      </c>
      <c r="AQ30" s="58">
        <f t="shared" si="6"/>
        <v>0</v>
      </c>
      <c r="AR30" s="58">
        <f t="shared" si="7"/>
        <v>0</v>
      </c>
      <c r="AS30" s="59"/>
      <c r="AT30" s="59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</row>
    <row r="31" ht="15">
      <c r="A31" s="68"/>
      <c r="B31" s="69" t="e">
        <f>IF(OR(SUM(H27:H30)&lt;1,SUM(E27:E30)&lt;1,SUM(F27:F30)&lt;1),NA(),SUM(H27:H30)/COUNTA(C27:C30))</f>
        <v>#N/A</v>
      </c>
      <c r="C31" s="69"/>
      <c r="D31" s="70"/>
      <c r="E31" s="89"/>
      <c r="F31" s="90"/>
      <c r="G31" s="51"/>
      <c r="H31" s="73"/>
      <c r="I31" s="70"/>
      <c r="J31" s="74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6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</row>
    <row r="32" ht="22.5">
      <c r="A32" s="77" t="s">
        <v>48</v>
      </c>
      <c r="B32" s="78">
        <v>1</v>
      </c>
      <c r="C32" s="79" t="s">
        <v>49</v>
      </c>
      <c r="D32" s="48"/>
      <c r="E32" s="49"/>
      <c r="F32" s="50"/>
      <c r="G32" s="51"/>
      <c r="H32" s="52">
        <f t="shared" si="4"/>
        <v>0</v>
      </c>
      <c r="I32" s="53"/>
      <c r="J32" s="55"/>
      <c r="K32" s="55"/>
      <c r="L32" s="55"/>
      <c r="M32" s="55"/>
      <c r="N32" s="55"/>
      <c r="O32" s="55"/>
      <c r="P32" s="56"/>
      <c r="Q32" s="57"/>
      <c r="R32" s="55"/>
      <c r="S32" s="55"/>
      <c r="T32" s="55"/>
      <c r="U32" s="56"/>
      <c r="V32" s="57"/>
      <c r="W32" s="55"/>
      <c r="X32" s="55"/>
      <c r="Y32" s="55"/>
      <c r="Z32" s="55"/>
      <c r="AA32" s="55"/>
      <c r="AB32" s="55"/>
      <c r="AC32" s="55"/>
      <c r="AD32" s="55"/>
      <c r="AE32" s="56"/>
      <c r="AF32" s="57"/>
      <c r="AG32" s="55"/>
      <c r="AH32" s="55"/>
      <c r="AI32" s="55"/>
      <c r="AJ32" s="55"/>
      <c r="AK32" s="54"/>
      <c r="AL32" s="54"/>
      <c r="AM32" s="54"/>
      <c r="AN32" s="56"/>
      <c r="AO32" s="57"/>
      <c r="AP32" s="58">
        <f t="shared" si="5"/>
        <v>0</v>
      </c>
      <c r="AQ32" s="58">
        <f t="shared" si="6"/>
        <v>0</v>
      </c>
      <c r="AR32" s="58">
        <f t="shared" si="7"/>
        <v>0</v>
      </c>
      <c r="AS32" s="59"/>
      <c r="AT32" s="59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</row>
    <row r="33" ht="15">
      <c r="A33" s="101"/>
      <c r="B33" s="81">
        <v>2</v>
      </c>
      <c r="C33" s="99" t="s">
        <v>50</v>
      </c>
      <c r="D33" s="48"/>
      <c r="E33" s="49"/>
      <c r="F33" s="50"/>
      <c r="G33" s="51"/>
      <c r="H33" s="52">
        <f t="shared" si="4"/>
        <v>0</v>
      </c>
      <c r="I33" s="53"/>
      <c r="J33" s="55"/>
      <c r="K33" s="55"/>
      <c r="L33" s="55"/>
      <c r="M33" s="55"/>
      <c r="N33" s="55"/>
      <c r="O33" s="55"/>
      <c r="P33" s="56"/>
      <c r="Q33" s="57"/>
      <c r="R33" s="55"/>
      <c r="S33" s="55"/>
      <c r="T33" s="55"/>
      <c r="U33" s="56"/>
      <c r="V33" s="57"/>
      <c r="W33" s="55"/>
      <c r="X33" s="55"/>
      <c r="Y33" s="55"/>
      <c r="Z33" s="55"/>
      <c r="AA33" s="55"/>
      <c r="AB33" s="55"/>
      <c r="AC33" s="55"/>
      <c r="AD33" s="55"/>
      <c r="AE33" s="56"/>
      <c r="AF33" s="57"/>
      <c r="AG33" s="55"/>
      <c r="AH33" s="55"/>
      <c r="AI33" s="55"/>
      <c r="AJ33" s="55"/>
      <c r="AK33" s="55"/>
      <c r="AL33" s="55"/>
      <c r="AM33" s="102"/>
      <c r="AN33" s="56"/>
      <c r="AO33" s="57"/>
      <c r="AP33" s="58">
        <f t="shared" si="5"/>
        <v>0</v>
      </c>
      <c r="AQ33" s="58">
        <f t="shared" si="6"/>
        <v>0</v>
      </c>
      <c r="AR33" s="58">
        <f t="shared" si="7"/>
        <v>0</v>
      </c>
      <c r="AS33" s="59"/>
      <c r="AT33" s="59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</row>
    <row r="34" ht="15">
      <c r="A34" s="101"/>
      <c r="B34" s="81">
        <v>3</v>
      </c>
      <c r="C34" s="99"/>
      <c r="D34" s="48"/>
      <c r="E34" s="49"/>
      <c r="F34" s="50"/>
      <c r="G34" s="51"/>
      <c r="H34" s="52">
        <f t="shared" si="4"/>
        <v>0</v>
      </c>
      <c r="I34" s="53"/>
      <c r="J34" s="55"/>
      <c r="K34" s="55"/>
      <c r="L34" s="55"/>
      <c r="M34" s="55"/>
      <c r="N34" s="55"/>
      <c r="O34" s="55"/>
      <c r="P34" s="56"/>
      <c r="Q34" s="57"/>
      <c r="R34" s="55"/>
      <c r="S34" s="55"/>
      <c r="T34" s="55"/>
      <c r="U34" s="56"/>
      <c r="V34" s="57"/>
      <c r="W34" s="55"/>
      <c r="X34" s="55"/>
      <c r="Y34" s="55"/>
      <c r="Z34" s="55"/>
      <c r="AA34" s="55"/>
      <c r="AB34" s="55"/>
      <c r="AC34" s="55"/>
      <c r="AD34" s="55"/>
      <c r="AE34" s="56"/>
      <c r="AF34" s="57"/>
      <c r="AG34" s="55"/>
      <c r="AH34" s="55"/>
      <c r="AI34" s="55"/>
      <c r="AJ34" s="55"/>
      <c r="AK34" s="55"/>
      <c r="AL34" s="55"/>
      <c r="AM34" s="55"/>
      <c r="AN34" s="56"/>
      <c r="AO34" s="57"/>
      <c r="AP34" s="58">
        <f t="shared" si="5"/>
        <v>0</v>
      </c>
      <c r="AQ34" s="58">
        <f t="shared" si="6"/>
        <v>0</v>
      </c>
      <c r="AR34" s="58">
        <f t="shared" si="7"/>
        <v>0</v>
      </c>
      <c r="AS34" s="59"/>
      <c r="AT34" s="59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</row>
    <row r="35" s="103" customFormat="1" ht="15">
      <c r="A35" s="101"/>
      <c r="B35" s="81">
        <v>4</v>
      </c>
      <c r="C35" s="104"/>
      <c r="D35" s="105"/>
      <c r="E35" s="106"/>
      <c r="F35" s="107"/>
      <c r="G35" s="108"/>
      <c r="H35" s="52">
        <f t="shared" si="4"/>
        <v>0</v>
      </c>
      <c r="I35" s="109"/>
      <c r="J35" s="110"/>
      <c r="K35" s="110"/>
      <c r="L35" s="110"/>
      <c r="M35" s="110"/>
      <c r="N35" s="110"/>
      <c r="O35" s="110"/>
      <c r="P35" s="111"/>
      <c r="Q35" s="112"/>
      <c r="R35" s="110"/>
      <c r="S35" s="110"/>
      <c r="T35" s="110"/>
      <c r="U35" s="111"/>
      <c r="V35" s="112"/>
      <c r="W35" s="110"/>
      <c r="X35" s="110"/>
      <c r="Y35" s="110"/>
      <c r="Z35" s="110"/>
      <c r="AA35" s="110"/>
      <c r="AB35" s="110"/>
      <c r="AC35" s="110"/>
      <c r="AD35" s="110"/>
      <c r="AE35" s="111"/>
      <c r="AF35" s="112"/>
      <c r="AG35" s="110"/>
      <c r="AH35" s="110"/>
      <c r="AI35" s="110"/>
      <c r="AJ35" s="110"/>
      <c r="AK35" s="110"/>
      <c r="AL35" s="110"/>
      <c r="AM35" s="110"/>
      <c r="AN35" s="111"/>
      <c r="AO35" s="112"/>
      <c r="AP35" s="113">
        <f t="shared" si="5"/>
        <v>0</v>
      </c>
      <c r="AQ35" s="113">
        <f t="shared" si="6"/>
        <v>0</v>
      </c>
      <c r="AR35" s="113">
        <f t="shared" si="7"/>
        <v>0</v>
      </c>
      <c r="AS35" s="114"/>
      <c r="AT35" s="114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115"/>
      <c r="CD35" s="115"/>
      <c r="CE35" s="115"/>
      <c r="CF35" s="115"/>
      <c r="CG35" s="115"/>
      <c r="CH35" s="115"/>
      <c r="CI35" s="115"/>
      <c r="CJ35" s="115"/>
      <c r="CK35" s="115"/>
      <c r="CL35" s="115"/>
      <c r="CM35" s="115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  <c r="DM35" s="116"/>
      <c r="DN35" s="116"/>
    </row>
    <row r="36" s="103" customFormat="1" ht="15">
      <c r="A36" s="117"/>
      <c r="B36" s="118" t="e">
        <f>IF(OR(SUM(H32:H35)&lt;1,SUM(E32:E35)&lt;1,SUM(F32:F35)&lt;1),NA(),SUM(H32:H35)/COUNTA(C27:C30))</f>
        <v>#N/A</v>
      </c>
      <c r="C36" s="118"/>
      <c r="D36" s="119"/>
      <c r="E36" s="120"/>
      <c r="F36" s="121"/>
      <c r="G36" s="122"/>
      <c r="H36" s="123"/>
      <c r="I36" s="119"/>
      <c r="J36" s="124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</row>
    <row r="37" s="103" customFormat="1" ht="31.5" customHeight="1">
      <c r="A37" s="126" t="s">
        <v>51</v>
      </c>
      <c r="B37" s="127"/>
      <c r="C37" s="128">
        <f>COUNTA(C8:C36)</f>
        <v>20</v>
      </c>
      <c r="D37" s="129"/>
      <c r="E37" s="130" t="s">
        <v>52</v>
      </c>
      <c r="F37" s="131"/>
      <c r="G37" s="131"/>
      <c r="H37" s="132"/>
      <c r="I37" s="133"/>
      <c r="J37" s="134">
        <f>COUNTIF(J8:J36,"OK")</f>
        <v>1</v>
      </c>
      <c r="K37" s="135">
        <f>COUNTIF(K8:K36,"OK")</f>
        <v>1</v>
      </c>
      <c r="L37" s="136">
        <f>COUNTIF(L8:L36,"OK")</f>
        <v>2</v>
      </c>
      <c r="M37" s="134">
        <f>COUNTIF(M8:M36,"OK")</f>
        <v>2</v>
      </c>
      <c r="N37" s="134">
        <f>COUNTIF(N8:N36,"OK")</f>
        <v>4</v>
      </c>
      <c r="O37" s="134">
        <f>COUNTIF(O8:O36,"OK")</f>
        <v>4</v>
      </c>
      <c r="P37" s="137">
        <f>COUNTIF(P8:P36,"OK")</f>
        <v>3</v>
      </c>
      <c r="Q37" s="138"/>
      <c r="R37" s="134">
        <f>COUNTIF(R8:R36,"OK")</f>
        <v>3</v>
      </c>
      <c r="S37" s="134">
        <f>COUNTIF(S8:S36,"OK")</f>
        <v>2</v>
      </c>
      <c r="T37" s="134">
        <f>COUNTIF(T8:T36,"OK")</f>
        <v>3</v>
      </c>
      <c r="U37" s="137">
        <f>COUNTIF(U8:U36,"OK")</f>
        <v>3</v>
      </c>
      <c r="V37" s="138"/>
      <c r="W37" s="134">
        <f>COUNTIF(W8:W36,"OK")</f>
        <v>3</v>
      </c>
      <c r="X37" s="134">
        <f>COUNTIF(X8:X36,"OK")</f>
        <v>2</v>
      </c>
      <c r="Y37" s="134">
        <f>COUNTIF(Y8:Y36,"OK")</f>
        <v>0</v>
      </c>
      <c r="Z37" s="135">
        <f>COUNTIF(Z8:Z36,"OK")</f>
        <v>0</v>
      </c>
      <c r="AA37" s="136">
        <f>COUNTIF(AA8:AA36,"OK")</f>
        <v>0</v>
      </c>
      <c r="AB37" s="134">
        <f>COUNTIF(AB8:AB36,"OK")</f>
        <v>0</v>
      </c>
      <c r="AC37" s="134">
        <f>COUNTIF(AC8:AC36,"OK")</f>
        <v>0</v>
      </c>
      <c r="AD37" s="134">
        <f>COUNTIF(AD8:AD36,"OK")</f>
        <v>0</v>
      </c>
      <c r="AE37" s="137">
        <f>COUNTIF(AE8:AE36,"OK")</f>
        <v>0</v>
      </c>
      <c r="AF37" s="138"/>
      <c r="AG37" s="134">
        <f>COUNTIF(AG8:AG36,"OK")</f>
        <v>0</v>
      </c>
      <c r="AH37" s="134">
        <f>COUNTIF(AH8:AH36,"OK")</f>
        <v>0</v>
      </c>
      <c r="AI37" s="134">
        <f>COUNTIF(AI8:AI36,"OK")</f>
        <v>0</v>
      </c>
      <c r="AJ37" s="135">
        <f>COUNTIF(AJ8:AJ36,"OK")</f>
        <v>0</v>
      </c>
      <c r="AK37" s="136">
        <f>COUNTIF(AK8:AK36,"OK")</f>
        <v>0</v>
      </c>
      <c r="AL37" s="134">
        <f>COUNTIF(AL8:AL36,"OK")</f>
        <v>0</v>
      </c>
      <c r="AM37" s="134">
        <f>COUNTIF(AM8:AM36,"OK")</f>
        <v>0</v>
      </c>
      <c r="AN37" s="137">
        <f>COUNTIF(AN8:AN36,"OK")</f>
        <v>0</v>
      </c>
      <c r="AO37" s="139"/>
      <c r="AP37" s="140">
        <f>AP39</f>
        <v>0</v>
      </c>
      <c r="AQ37" s="141"/>
      <c r="AR37" s="141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115"/>
      <c r="CD37" s="115"/>
      <c r="CE37" s="115"/>
      <c r="CF37" s="115"/>
      <c r="CG37" s="115"/>
      <c r="CH37" s="115"/>
      <c r="CI37" s="115"/>
      <c r="CJ37" s="115"/>
      <c r="CK37" s="115"/>
      <c r="CL37" s="115"/>
      <c r="CM37" s="115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</row>
    <row r="38" s="103" customFormat="1" ht="20.25" customHeight="1">
      <c r="A38" s="142" t="s">
        <v>53</v>
      </c>
      <c r="B38" s="143"/>
      <c r="C38" s="144">
        <f>IF(OR(SUM(H8:H36)&lt;1,SUM(E8:E36)&lt;1,SUM(F8:F36)&lt;1),NA(),SUM(H8:H36)/COUNTA(C8:C36))</f>
        <v>30.333333333333332</v>
      </c>
      <c r="D38" s="145"/>
      <c r="E38" s="130" t="s">
        <v>54</v>
      </c>
      <c r="F38" s="131"/>
      <c r="G38" s="131"/>
      <c r="H38" s="132"/>
      <c r="I38" s="133"/>
      <c r="J38" s="146">
        <f>COUNTIF(J8:J36,"P")</f>
        <v>0</v>
      </c>
      <c r="K38" s="147">
        <f>COUNTIF(K8:K36,"P")</f>
        <v>0</v>
      </c>
      <c r="L38" s="148">
        <f>COUNTIF(L8:L36,"P")</f>
        <v>0</v>
      </c>
      <c r="M38" s="146">
        <f>COUNTIF(M8:M36,"P")</f>
        <v>0</v>
      </c>
      <c r="N38" s="146">
        <f>COUNTIF(N8:N36,"P")</f>
        <v>0</v>
      </c>
      <c r="O38" s="146">
        <f>COUNTIF(O8:O36,"P")</f>
        <v>0</v>
      </c>
      <c r="P38" s="149">
        <f>COUNTIF(P8:P36,"P")</f>
        <v>1</v>
      </c>
      <c r="Q38" s="150">
        <f>COUNTIF(Q9:Q36,"P")</f>
        <v>1</v>
      </c>
      <c r="R38" s="146">
        <f>COUNTIF(R8:R36,"P")</f>
        <v>1</v>
      </c>
      <c r="S38" s="146">
        <f>COUNTIF(S8:S36,"P")</f>
        <v>2</v>
      </c>
      <c r="T38" s="146">
        <f>COUNTIF(T8:T36,"P")</f>
        <v>1</v>
      </c>
      <c r="U38" s="149">
        <f>COUNTIF(U8:U36,"P")</f>
        <v>1</v>
      </c>
      <c r="V38" s="150">
        <f>COUNTIF(V9:V36,"P")</f>
        <v>1</v>
      </c>
      <c r="W38" s="146">
        <f>COUNTIF(W8:W36,"P")</f>
        <v>1</v>
      </c>
      <c r="X38" s="146">
        <f>COUNTIF(X8:X36,"P")</f>
        <v>2</v>
      </c>
      <c r="Y38" s="146">
        <f>COUNTIF(Y8:Y36,"P")</f>
        <v>0</v>
      </c>
      <c r="Z38" s="147">
        <f>COUNTIF(Z8:Z36,"P")</f>
        <v>0</v>
      </c>
      <c r="AA38" s="148">
        <f>COUNTIF(AA8:AA36,"P")</f>
        <v>0</v>
      </c>
      <c r="AB38" s="146">
        <f>COUNTIF(AB8:AB36,"P")</f>
        <v>0</v>
      </c>
      <c r="AC38" s="146">
        <f>COUNTIF(AC8:AC36,"P")</f>
        <v>0</v>
      </c>
      <c r="AD38" s="146">
        <f>COUNTIF(AD8:AD36,"P")</f>
        <v>0</v>
      </c>
      <c r="AE38" s="149">
        <f>COUNTIF(AE8:AE36,"P")</f>
        <v>0</v>
      </c>
      <c r="AF38" s="150">
        <f>COUNTIF(AF9:AF36,"P")</f>
        <v>0</v>
      </c>
      <c r="AG38" s="146">
        <f>COUNTIF(AG8:AG36,"P")</f>
        <v>0</v>
      </c>
      <c r="AH38" s="146">
        <f>COUNTIF(AH8:AH36,"P")</f>
        <v>0</v>
      </c>
      <c r="AI38" s="146">
        <f>COUNTIF(AI8:AI36,"P")</f>
        <v>0</v>
      </c>
      <c r="AJ38" s="147">
        <f>COUNTIF(AJ8:AJ36,"P")</f>
        <v>0</v>
      </c>
      <c r="AK38" s="148">
        <f>COUNTIF(AK8:AK36,"P")</f>
        <v>0</v>
      </c>
      <c r="AL38" s="146">
        <f>COUNTIF(AL8:AL36,"P")</f>
        <v>0</v>
      </c>
      <c r="AM38" s="146">
        <f>COUNTIF(AM8:AM36,"P")</f>
        <v>0</v>
      </c>
      <c r="AN38" s="149">
        <f>COUNTIF(AN8:AN36,"P")</f>
        <v>0</v>
      </c>
      <c r="AO38" s="151">
        <f>COUNTIF(AO9:AO36,"P")</f>
        <v>0</v>
      </c>
      <c r="AP38" s="152">
        <f t="shared" ref="AP38:AP39" si="8">SUM(J38:AO38)</f>
        <v>11</v>
      </c>
      <c r="AQ38" s="141"/>
      <c r="AR38" s="141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5"/>
      <c r="CG38" s="115"/>
      <c r="CH38" s="115"/>
      <c r="CI38" s="115"/>
      <c r="CJ38" s="115"/>
      <c r="CK38" s="115"/>
      <c r="CL38" s="115"/>
      <c r="CM38" s="115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03"/>
      <c r="DP38" s="103"/>
      <c r="DQ38" s="103"/>
      <c r="DR38" s="103"/>
      <c r="DS38" s="103"/>
      <c r="DT38" s="103"/>
      <c r="DU38" s="103"/>
      <c r="DV38" s="103"/>
      <c r="DW38" s="103"/>
      <c r="DX38" s="103"/>
      <c r="DY38" s="103"/>
      <c r="DZ38" s="103"/>
      <c r="EA38" s="103"/>
      <c r="EB38" s="103"/>
      <c r="EC38" s="103"/>
      <c r="ED38" s="103"/>
      <c r="EE38" s="103"/>
      <c r="EF38" s="103"/>
      <c r="EG38" s="103"/>
      <c r="EH38" s="103"/>
      <c r="EI38" s="103"/>
      <c r="EJ38" s="103"/>
      <c r="EK38" s="103"/>
      <c r="EL38" s="103"/>
      <c r="EM38" s="103"/>
      <c r="EN38" s="103"/>
      <c r="EO38" s="103"/>
      <c r="EP38" s="103"/>
      <c r="EQ38" s="103"/>
    </row>
    <row r="39" s="103" customFormat="1" ht="22.5" customHeight="1">
      <c r="A39" s="153"/>
      <c r="B39" s="154"/>
      <c r="C39" s="155" t="e">
        <v>#N/A</v>
      </c>
      <c r="D39" s="145"/>
      <c r="E39" s="130" t="s">
        <v>55</v>
      </c>
      <c r="F39" s="131"/>
      <c r="G39" s="131"/>
      <c r="H39" s="132"/>
      <c r="I39" s="133"/>
      <c r="J39" s="146">
        <f>COUNTIF(J8:J36,"A")</f>
        <v>0</v>
      </c>
      <c r="K39" s="147">
        <f>COUNTIF(K8:K36,"A")</f>
        <v>0</v>
      </c>
      <c r="L39" s="148">
        <f>COUNTIF(L8:L36,"A")</f>
        <v>0</v>
      </c>
      <c r="M39" s="146">
        <f>COUNTIF(M8:M36,"A")</f>
        <v>0</v>
      </c>
      <c r="N39" s="146">
        <f>COUNTIF(N8:N36,"A")</f>
        <v>0</v>
      </c>
      <c r="O39" s="146">
        <f>COUNTIF(O8:O36,"A")</f>
        <v>0</v>
      </c>
      <c r="P39" s="149">
        <f>COUNTIF(P8:P36,"A")</f>
        <v>0</v>
      </c>
      <c r="Q39" s="150">
        <f>COUNTIF(Q10:Q36,"A")</f>
        <v>0</v>
      </c>
      <c r="R39" s="146">
        <f>COUNTIF(R8:R36,"A")</f>
        <v>0</v>
      </c>
      <c r="S39" s="146">
        <f>COUNTIF(S8:S36,"A")</f>
        <v>0</v>
      </c>
      <c r="T39" s="146">
        <f>COUNTIF(T8:T36,"A")</f>
        <v>0</v>
      </c>
      <c r="U39" s="149">
        <f>COUNTIF(U8:U36,"A")</f>
        <v>0</v>
      </c>
      <c r="V39" s="150">
        <f>COUNTIF(V10:V36,"A")</f>
        <v>0</v>
      </c>
      <c r="W39" s="146">
        <f>COUNTIF(W8:W36,"A")</f>
        <v>0</v>
      </c>
      <c r="X39" s="146">
        <f>COUNTIF(X8:X36,"A")</f>
        <v>0</v>
      </c>
      <c r="Y39" s="146">
        <f>COUNTIF(Y8:Y36,"A")</f>
        <v>0</v>
      </c>
      <c r="Z39" s="147">
        <f>COUNTIF(Z8:Z36,"A")</f>
        <v>0</v>
      </c>
      <c r="AA39" s="148">
        <f>COUNTIF(AA8:AA36,"A")</f>
        <v>0</v>
      </c>
      <c r="AB39" s="146">
        <f>COUNTIF(AB8:AB36,"A")</f>
        <v>0</v>
      </c>
      <c r="AC39" s="146">
        <f>COUNTIF(AC8:AC36,"A")</f>
        <v>0</v>
      </c>
      <c r="AD39" s="146">
        <f>COUNTIF(AD8:AD36,"A")</f>
        <v>0</v>
      </c>
      <c r="AE39" s="149">
        <f>COUNTIF(AE8:AE36,"A")</f>
        <v>0</v>
      </c>
      <c r="AF39" s="150">
        <f>COUNTIF(AF10:AF36,"A")</f>
        <v>0</v>
      </c>
      <c r="AG39" s="146">
        <f>COUNTIF(AG8:AG36,"A")</f>
        <v>0</v>
      </c>
      <c r="AH39" s="146">
        <f>COUNTIF(AH8:AH36,"A")</f>
        <v>0</v>
      </c>
      <c r="AI39" s="146">
        <f>COUNTIF(AI8:AI36,"A")</f>
        <v>0</v>
      </c>
      <c r="AJ39" s="147">
        <f>COUNTIF(AJ8:AJ36,"A")</f>
        <v>0</v>
      </c>
      <c r="AK39" s="148">
        <f>COUNTIF(AK8:AK36,"A")</f>
        <v>0</v>
      </c>
      <c r="AL39" s="146">
        <f>COUNTIF(AL8:AL36,"A")</f>
        <v>0</v>
      </c>
      <c r="AM39" s="146">
        <f>COUNTIF(AM8:AM36,"A")</f>
        <v>0</v>
      </c>
      <c r="AN39" s="149">
        <f>COUNTIF(AN8:AN36,"A")</f>
        <v>0</v>
      </c>
      <c r="AO39" s="151">
        <f>COUNTIF(AO10:AO36,"A")</f>
        <v>0</v>
      </c>
      <c r="AP39" s="152">
        <f t="shared" si="8"/>
        <v>0</v>
      </c>
      <c r="AQ39" s="141"/>
      <c r="AR39" s="141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115"/>
      <c r="CD39" s="115"/>
      <c r="CE39" s="115"/>
      <c r="CF39" s="115"/>
      <c r="CG39" s="115"/>
      <c r="CH39" s="115"/>
      <c r="CI39" s="115"/>
      <c r="CJ39" s="115"/>
      <c r="CK39" s="115"/>
      <c r="CL39" s="115"/>
      <c r="CM39" s="115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  <c r="DM39" s="116"/>
      <c r="DN39" s="116"/>
    </row>
    <row r="40" ht="15">
      <c r="A40" s="156"/>
      <c r="B40" s="156"/>
      <c r="C40" s="156"/>
      <c r="D40" s="156"/>
      <c r="E40" s="157"/>
      <c r="F40" s="158"/>
      <c r="G40" s="158"/>
      <c r="H40" s="159"/>
      <c r="I40" s="156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156"/>
      <c r="BN40" s="156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</row>
    <row r="41">
      <c r="A41" s="156"/>
      <c r="B41" s="156"/>
      <c r="C41" s="156"/>
      <c r="D41" s="156"/>
      <c r="E41" s="156"/>
      <c r="F41" s="156"/>
      <c r="G41" s="156"/>
      <c r="H41" s="156"/>
      <c r="I41" s="156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156"/>
      <c r="BN41" s="156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</row>
    <row r="42">
      <c r="A42" s="156"/>
      <c r="B42" s="156"/>
      <c r="C42" s="156"/>
      <c r="D42" s="156"/>
      <c r="E42" s="156"/>
      <c r="F42" s="156"/>
      <c r="G42" s="156"/>
      <c r="H42" s="156"/>
      <c r="I42" s="156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156"/>
      <c r="BN42" s="156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</row>
    <row r="43">
      <c r="A43" s="156"/>
      <c r="B43" s="156"/>
      <c r="C43" s="156"/>
      <c r="D43" s="156"/>
      <c r="E43" s="156"/>
      <c r="F43" s="156"/>
      <c r="G43" s="156"/>
      <c r="H43" s="156"/>
      <c r="I43" s="156"/>
      <c r="J43" s="60"/>
      <c r="K43" s="60"/>
      <c r="L43" s="60"/>
      <c r="M43" s="1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156"/>
      <c r="BN43" s="156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</row>
    <row r="44">
      <c r="A44" s="156"/>
      <c r="B44" s="156"/>
      <c r="C44" s="156"/>
      <c r="D44" s="156"/>
      <c r="E44" s="156"/>
      <c r="F44" s="156"/>
      <c r="G44" s="156"/>
      <c r="H44" s="156"/>
      <c r="I44" s="156"/>
      <c r="J44" s="60"/>
      <c r="K44" s="60"/>
      <c r="L44" s="60"/>
      <c r="M44" s="1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156"/>
      <c r="BN44" s="156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</row>
    <row r="45">
      <c r="A45" s="156"/>
      <c r="B45" s="156"/>
      <c r="C45" s="156"/>
      <c r="D45" s="156"/>
      <c r="E45" s="156"/>
      <c r="F45" s="156"/>
      <c r="G45" s="156"/>
      <c r="H45" s="156"/>
      <c r="I45" s="156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156"/>
      <c r="BN45" s="156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</row>
    <row r="46">
      <c r="A46" s="156"/>
      <c r="B46" s="156"/>
      <c r="C46" s="156"/>
      <c r="D46" s="156"/>
      <c r="E46" s="156"/>
      <c r="F46" s="156"/>
      <c r="G46" s="156"/>
      <c r="H46" s="156"/>
      <c r="I46" s="156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156"/>
      <c r="BN46" s="156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</row>
    <row r="47">
      <c r="A47" s="156"/>
      <c r="B47" s="156"/>
      <c r="C47" s="156"/>
      <c r="D47" s="156"/>
      <c r="E47" s="156"/>
      <c r="F47" s="156"/>
      <c r="G47" s="156"/>
      <c r="H47" s="156"/>
      <c r="I47" s="156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156"/>
      <c r="BN47" s="156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</row>
    <row r="48">
      <c r="A48" s="2"/>
      <c r="B48" s="2"/>
      <c r="C48" s="2"/>
      <c r="D48" s="2"/>
      <c r="E48" s="2"/>
      <c r="F48" s="2"/>
      <c r="G48" s="2"/>
      <c r="H48" s="2"/>
      <c r="I48" s="2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2"/>
      <c r="BN48" s="2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</row>
    <row r="49" ht="16.5">
      <c r="A49" s="161" t="s">
        <v>56</v>
      </c>
      <c r="B49" s="2"/>
      <c r="C49" s="2"/>
      <c r="D49" s="2"/>
      <c r="E49" s="2"/>
      <c r="F49" s="2"/>
      <c r="G49" s="2"/>
      <c r="H49" s="2"/>
      <c r="I49" s="2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2"/>
      <c r="BN49" s="2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</row>
    <row r="50">
      <c r="A50" s="2"/>
      <c r="B50" s="2"/>
      <c r="C50" s="2"/>
      <c r="D50" s="2"/>
      <c r="E50" s="2"/>
      <c r="F50" s="2"/>
      <c r="G50" s="2"/>
      <c r="H50" s="2"/>
      <c r="I50" s="2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2"/>
      <c r="BN50" s="2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</row>
    <row r="51">
      <c r="A51" s="2"/>
      <c r="B51" s="2"/>
      <c r="C51" s="2"/>
      <c r="D51" s="2"/>
      <c r="E51" s="2"/>
      <c r="F51" s="2"/>
      <c r="G51" s="2"/>
      <c r="H51" s="2"/>
      <c r="I51" s="2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2"/>
      <c r="BN51" s="2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</row>
    <row r="52">
      <c r="A52" s="2"/>
      <c r="B52" s="2"/>
      <c r="C52" s="2"/>
      <c r="D52" s="2"/>
      <c r="E52" s="2"/>
      <c r="F52" s="2"/>
      <c r="G52" s="2"/>
      <c r="H52" s="2"/>
      <c r="I52" s="2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2"/>
      <c r="BN52" s="2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</row>
    <row r="53">
      <c r="A53" s="2"/>
      <c r="B53" s="2"/>
      <c r="C53" s="2"/>
      <c r="D53" s="2"/>
      <c r="E53" s="2"/>
      <c r="F53" s="2"/>
      <c r="G53" s="2"/>
      <c r="H53" s="2"/>
      <c r="I53" s="2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2"/>
      <c r="BN53" s="2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</row>
    <row r="54">
      <c r="A54" s="2"/>
      <c r="B54" s="2"/>
      <c r="C54" s="2"/>
      <c r="D54" s="2"/>
      <c r="E54" s="2"/>
      <c r="F54" s="2"/>
      <c r="G54" s="2"/>
      <c r="H54" s="2"/>
      <c r="I54" s="2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2"/>
      <c r="BN54" s="2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</row>
    <row r="55">
      <c r="A55" s="2"/>
      <c r="B55" s="2"/>
      <c r="C55" s="2"/>
      <c r="D55" s="2"/>
      <c r="E55" s="2"/>
      <c r="F55" s="2"/>
      <c r="G55" s="2"/>
      <c r="H55" s="2"/>
      <c r="I55" s="2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2"/>
      <c r="BN55" s="2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</row>
    <row r="56">
      <c r="A56" s="2"/>
      <c r="B56" s="2"/>
      <c r="C56" s="2"/>
      <c r="D56" s="2"/>
      <c r="E56" s="2"/>
      <c r="F56" s="2"/>
      <c r="G56" s="2"/>
      <c r="H56" s="2"/>
      <c r="I56" s="2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2"/>
      <c r="BN56" s="2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</row>
    <row r="57">
      <c r="A57" s="2"/>
      <c r="B57" s="2"/>
      <c r="C57" s="2"/>
      <c r="D57" s="2"/>
      <c r="E57" s="2"/>
      <c r="F57" s="2"/>
      <c r="G57" s="2"/>
      <c r="H57" s="2"/>
      <c r="I57" s="2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2"/>
      <c r="BN57" s="2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</row>
    <row r="58">
      <c r="A58" s="2"/>
      <c r="B58" s="2"/>
      <c r="C58" s="2"/>
      <c r="D58" s="2"/>
      <c r="E58" s="2"/>
      <c r="F58" s="2"/>
      <c r="G58" s="2"/>
      <c r="H58" s="2"/>
      <c r="I58" s="2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2"/>
      <c r="BN58" s="2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</row>
    <row r="59">
      <c r="A59" s="2"/>
      <c r="B59" s="2"/>
      <c r="C59" s="2"/>
      <c r="D59" s="2"/>
      <c r="E59" s="2"/>
      <c r="F59" s="2"/>
      <c r="G59" s="2"/>
      <c r="H59" s="2"/>
      <c r="I59" s="2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2"/>
      <c r="BN59" s="2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</row>
    <row r="60">
      <c r="A60" s="2"/>
      <c r="B60" s="2"/>
      <c r="C60" s="2"/>
      <c r="D60" s="2"/>
      <c r="E60" s="2"/>
      <c r="F60" s="2"/>
      <c r="G60" s="2"/>
      <c r="H60" s="2"/>
      <c r="I60" s="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2"/>
      <c r="BN60" s="2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</row>
    <row r="61">
      <c r="A61" s="2"/>
      <c r="B61" s="2"/>
      <c r="C61" s="2"/>
      <c r="D61" s="2"/>
      <c r="E61" s="2"/>
      <c r="F61" s="2"/>
      <c r="G61" s="2"/>
      <c r="H61" s="2"/>
      <c r="I61" s="2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2"/>
      <c r="BN61" s="2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</row>
    <row r="62">
      <c r="A62" s="2"/>
      <c r="B62" s="2"/>
      <c r="C62" s="2"/>
      <c r="D62" s="2"/>
      <c r="E62" s="2"/>
      <c r="F62" s="2"/>
      <c r="G62" s="2"/>
      <c r="H62" s="2"/>
      <c r="I62" s="2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2"/>
      <c r="BN62" s="2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</row>
    <row r="63">
      <c r="A63" s="2"/>
      <c r="B63" s="2"/>
      <c r="C63" s="2"/>
      <c r="D63" s="2"/>
      <c r="E63" s="2"/>
      <c r="F63" s="2"/>
      <c r="G63" s="2"/>
      <c r="H63" s="2"/>
      <c r="I63" s="2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2"/>
      <c r="BN63" s="2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</row>
    <row r="64">
      <c r="A64" s="2"/>
      <c r="B64" s="2"/>
      <c r="C64" s="2"/>
      <c r="D64" s="2"/>
      <c r="E64" s="2"/>
      <c r="F64" s="2"/>
      <c r="G64" s="2"/>
      <c r="H64" s="2"/>
      <c r="I64" s="2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2"/>
      <c r="BN64" s="2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</row>
    <row r="65">
      <c r="A65" s="2"/>
      <c r="B65" s="2"/>
      <c r="C65" s="2"/>
      <c r="D65" s="2"/>
      <c r="E65" s="2"/>
      <c r="F65" s="2"/>
      <c r="G65" s="2"/>
      <c r="H65" s="2"/>
      <c r="I65" s="2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2"/>
      <c r="BN65" s="2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</row>
    <row r="66">
      <c r="A66" s="2"/>
      <c r="B66" s="2"/>
      <c r="C66" s="2"/>
      <c r="D66" s="2"/>
      <c r="E66" s="2"/>
      <c r="F66" s="2"/>
      <c r="G66" s="2"/>
      <c r="H66" s="2"/>
      <c r="I66" s="2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2"/>
      <c r="BN66" s="2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</row>
    <row r="67">
      <c r="A67" s="2"/>
      <c r="B67" s="2"/>
      <c r="C67" s="2"/>
      <c r="D67" s="2"/>
      <c r="E67" s="2"/>
      <c r="F67" s="2"/>
      <c r="G67" s="2"/>
      <c r="H67" s="2"/>
      <c r="I67" s="2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2"/>
      <c r="BN67" s="2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</row>
    <row r="68">
      <c r="A68" s="2"/>
      <c r="B68" s="2"/>
      <c r="C68" s="2"/>
      <c r="D68" s="2"/>
      <c r="E68" s="2"/>
      <c r="F68" s="2"/>
      <c r="G68" s="2"/>
      <c r="H68" s="2"/>
      <c r="I68" s="2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2"/>
      <c r="BN68" s="2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</row>
    <row r="69">
      <c r="A69" s="2"/>
      <c r="B69" s="2"/>
      <c r="C69" s="2"/>
      <c r="D69" s="2"/>
      <c r="E69" s="2"/>
      <c r="F69" s="2"/>
      <c r="G69" s="2"/>
      <c r="H69" s="2"/>
      <c r="I69" s="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2"/>
      <c r="BN69" s="2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</row>
    <row r="70">
      <c r="A70" s="2"/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2"/>
      <c r="BN70" s="2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</row>
    <row r="71">
      <c r="A71" s="2"/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2"/>
      <c r="BN71" s="2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</row>
    <row r="72">
      <c r="A72" s="2"/>
      <c r="B72" s="2"/>
      <c r="C72" s="2"/>
      <c r="D72" s="2"/>
      <c r="E72" s="2"/>
      <c r="F72" s="2"/>
      <c r="G72" s="2"/>
      <c r="H72" s="2"/>
      <c r="I72" s="2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2"/>
      <c r="BN72" s="2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</row>
    <row r="73">
      <c r="A73" s="2"/>
      <c r="B73" s="2"/>
      <c r="C73" s="2"/>
      <c r="D73" s="2"/>
      <c r="E73" s="2"/>
      <c r="F73" s="2"/>
      <c r="G73" s="2"/>
      <c r="H73" s="2"/>
      <c r="I73" s="2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2"/>
      <c r="BN73" s="2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</row>
    <row r="74">
      <c r="A74" s="2"/>
      <c r="B74" s="2"/>
      <c r="C74" s="2"/>
      <c r="D74" s="2"/>
      <c r="E74" s="2"/>
      <c r="F74" s="2"/>
      <c r="G74" s="2"/>
      <c r="H74" s="2"/>
      <c r="I74" s="2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2"/>
      <c r="BN74" s="2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</row>
    <row r="75">
      <c r="A75" s="2"/>
      <c r="B75" s="2"/>
      <c r="C75" s="2"/>
      <c r="D75" s="2"/>
      <c r="E75" s="2"/>
      <c r="F75" s="2"/>
      <c r="G75" s="2"/>
      <c r="H75" s="2"/>
      <c r="I75" s="2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2"/>
      <c r="BN75" s="2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</row>
    <row r="76">
      <c r="A76" s="2"/>
      <c r="B76" s="2"/>
      <c r="C76" s="2"/>
      <c r="D76" s="2"/>
      <c r="E76" s="2"/>
      <c r="F76" s="2"/>
      <c r="G76" s="2"/>
      <c r="H76" s="2"/>
      <c r="I76" s="2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2"/>
      <c r="BN76" s="2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</row>
    <row r="77">
      <c r="A77" s="2"/>
      <c r="B77" s="2"/>
      <c r="C77" s="2"/>
      <c r="D77" s="2"/>
      <c r="E77" s="2"/>
      <c r="F77" s="2"/>
      <c r="G77" s="2"/>
      <c r="H77" s="2"/>
      <c r="I77" s="2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2"/>
      <c r="BN77" s="2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</row>
    <row r="78">
      <c r="A78" s="2"/>
      <c r="B78" s="2"/>
      <c r="C78" s="2"/>
      <c r="D78" s="2"/>
      <c r="E78" s="2"/>
      <c r="F78" s="2"/>
      <c r="G78" s="2"/>
      <c r="H78" s="2"/>
      <c r="I78" s="2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2"/>
      <c r="BN78" s="2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</row>
    <row r="79">
      <c r="A79" s="2"/>
      <c r="B79" s="2"/>
      <c r="C79" s="2"/>
      <c r="D79" s="2"/>
      <c r="E79" s="2"/>
      <c r="F79" s="2"/>
      <c r="G79" s="2"/>
      <c r="H79" s="2"/>
      <c r="I79" s="2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2"/>
      <c r="BN79" s="2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</row>
    <row r="80">
      <c r="A80" s="2"/>
      <c r="B80" s="2"/>
      <c r="C80" s="2"/>
      <c r="D80" s="2"/>
      <c r="E80" s="2"/>
      <c r="F80" s="2"/>
      <c r="G80" s="2"/>
      <c r="H80" s="2"/>
      <c r="I80" s="2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2"/>
      <c r="BN80" s="2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</row>
    <row r="81">
      <c r="A81" s="2"/>
      <c r="B81" s="2"/>
      <c r="C81" s="2"/>
      <c r="D81" s="2"/>
      <c r="E81" s="2"/>
      <c r="F81" s="2"/>
      <c r="G81" s="2"/>
      <c r="H81" s="2"/>
      <c r="I81" s="2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2"/>
      <c r="BN81" s="2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</row>
    <row r="82">
      <c r="A82" s="2"/>
      <c r="B82" s="2"/>
      <c r="C82" s="2"/>
      <c r="D82" s="2"/>
      <c r="E82" s="2"/>
      <c r="F82" s="2"/>
      <c r="G82" s="2"/>
      <c r="H82" s="2"/>
      <c r="I82" s="2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2"/>
      <c r="BN82" s="2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</row>
    <row r="83">
      <c r="A83" s="2"/>
      <c r="B83" s="2"/>
      <c r="C83" s="2"/>
      <c r="D83" s="2"/>
      <c r="E83" s="2"/>
      <c r="F83" s="2"/>
      <c r="G83" s="2"/>
      <c r="H83" s="2"/>
      <c r="I83" s="2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2"/>
      <c r="BN83" s="2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</row>
    <row r="84">
      <c r="A84" s="2"/>
      <c r="B84" s="2"/>
      <c r="C84" s="2"/>
      <c r="D84" s="2"/>
      <c r="E84" s="2"/>
      <c r="F84" s="2"/>
      <c r="G84" s="2"/>
      <c r="H84" s="2"/>
      <c r="I84" s="2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2"/>
      <c r="BN84" s="2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</row>
    <row r="85">
      <c r="A85" s="2"/>
      <c r="B85" s="2"/>
      <c r="C85" s="2"/>
      <c r="D85" s="2"/>
      <c r="E85" s="2"/>
      <c r="F85" s="2"/>
      <c r="G85" s="2"/>
      <c r="H85" s="2"/>
      <c r="I85" s="2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2"/>
      <c r="BN85" s="2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</row>
    <row r="86">
      <c r="A86" s="2"/>
      <c r="B86" s="2"/>
      <c r="C86" s="2"/>
      <c r="D86" s="2"/>
      <c r="E86" s="2"/>
      <c r="F86" s="2"/>
      <c r="G86" s="2"/>
      <c r="H86" s="2"/>
      <c r="I86" s="2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2"/>
      <c r="BN86" s="2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</row>
    <row r="87">
      <c r="A87" s="2"/>
      <c r="B87" s="2"/>
      <c r="C87" s="2"/>
      <c r="D87" s="2"/>
      <c r="E87" s="2"/>
      <c r="F87" s="2"/>
      <c r="G87" s="2"/>
      <c r="H87" s="2"/>
      <c r="I87" s="2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2"/>
      <c r="BN87" s="2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</row>
    <row r="88">
      <c r="A88" s="2"/>
      <c r="B88" s="2"/>
      <c r="C88" s="2"/>
      <c r="D88" s="2"/>
      <c r="E88" s="2"/>
      <c r="F88" s="2"/>
      <c r="G88" s="2"/>
      <c r="H88" s="2"/>
      <c r="I88" s="2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2"/>
      <c r="BN88" s="2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</row>
    <row r="89">
      <c r="A89" s="2"/>
      <c r="B89" s="2"/>
      <c r="C89" s="2"/>
      <c r="D89" s="2"/>
      <c r="E89" s="2"/>
      <c r="F89" s="2"/>
      <c r="G89" s="2"/>
      <c r="H89" s="2"/>
      <c r="I89" s="2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2"/>
      <c r="BN89" s="2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</row>
    <row r="90">
      <c r="A90" s="2"/>
      <c r="B90" s="2"/>
      <c r="C90" s="2"/>
      <c r="D90" s="2"/>
      <c r="E90" s="2"/>
      <c r="F90" s="2"/>
      <c r="G90" s="2"/>
      <c r="H90" s="2"/>
      <c r="I90" s="2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2"/>
      <c r="BN90" s="2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</row>
    <row r="91">
      <c r="A91" s="2"/>
      <c r="B91" s="2"/>
      <c r="C91" s="2"/>
      <c r="D91" s="2"/>
      <c r="E91" s="2"/>
      <c r="F91" s="2"/>
      <c r="G91" s="2"/>
      <c r="H91" s="2"/>
      <c r="I91" s="2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2"/>
      <c r="BN91" s="2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</row>
    <row r="92">
      <c r="A92" s="2"/>
      <c r="B92" s="2"/>
      <c r="C92" s="2"/>
      <c r="D92" s="2"/>
      <c r="E92" s="2"/>
      <c r="F92" s="2"/>
      <c r="G92" s="2"/>
      <c r="H92" s="2"/>
      <c r="I92" s="2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2"/>
      <c r="BN92" s="2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</row>
    <row r="93">
      <c r="A93" s="2"/>
      <c r="B93" s="2"/>
      <c r="C93" s="2"/>
      <c r="D93" s="2"/>
      <c r="E93" s="2"/>
      <c r="F93" s="2"/>
      <c r="G93" s="2"/>
      <c r="H93" s="2"/>
      <c r="I93" s="2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2"/>
      <c r="BN93" s="2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</row>
    <row r="94">
      <c r="A94" s="2"/>
      <c r="B94" s="2"/>
      <c r="C94" s="2"/>
      <c r="D94" s="2"/>
      <c r="E94" s="2"/>
      <c r="F94" s="2"/>
      <c r="G94" s="2"/>
      <c r="H94" s="2"/>
      <c r="I94" s="2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2"/>
      <c r="BN94" s="2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</row>
    <row r="95">
      <c r="A95" s="2"/>
      <c r="B95" s="2"/>
      <c r="C95" s="2"/>
      <c r="D95" s="2"/>
      <c r="E95" s="2"/>
      <c r="F95" s="2"/>
      <c r="G95" s="2"/>
      <c r="H95" s="2"/>
      <c r="I95" s="2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2"/>
      <c r="BN95" s="2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</row>
    <row r="96">
      <c r="A96" s="2"/>
      <c r="B96" s="2"/>
      <c r="C96" s="2"/>
      <c r="D96" s="2"/>
      <c r="E96" s="2"/>
      <c r="F96" s="2"/>
      <c r="G96" s="2"/>
      <c r="H96" s="2"/>
      <c r="I96" s="2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2"/>
      <c r="BN96" s="2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</row>
    <row r="97">
      <c r="A97" s="2"/>
      <c r="B97" s="2"/>
      <c r="C97" s="2"/>
      <c r="D97" s="2"/>
      <c r="E97" s="2"/>
      <c r="F97" s="2"/>
      <c r="G97" s="2"/>
      <c r="H97" s="2"/>
      <c r="I97" s="2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2"/>
      <c r="BN97" s="2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</row>
    <row r="98">
      <c r="A98" s="2"/>
      <c r="B98" s="2"/>
      <c r="C98" s="2"/>
      <c r="D98" s="2"/>
      <c r="E98" s="2"/>
      <c r="F98" s="2"/>
      <c r="G98" s="2"/>
      <c r="H98" s="2"/>
      <c r="I98" s="2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2"/>
      <c r="BN98" s="2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</row>
    <row r="99">
      <c r="A99" s="2"/>
      <c r="B99" s="2"/>
      <c r="C99" s="2"/>
      <c r="D99" s="2"/>
      <c r="E99" s="2"/>
      <c r="F99" s="2"/>
      <c r="G99" s="2"/>
      <c r="H99" s="2"/>
      <c r="I99" s="2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2"/>
      <c r="BN99" s="2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2"/>
      <c r="BN100" s="2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2"/>
      <c r="BN101" s="2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2"/>
      <c r="BN102" s="2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2"/>
      <c r="BN103" s="2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2"/>
      <c r="BN104" s="2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  <c r="EL104" s="44"/>
      <c r="EM104" s="44"/>
      <c r="EN104" s="44"/>
      <c r="EO104" s="44"/>
      <c r="EP104" s="44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2"/>
      <c r="BN105" s="2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2"/>
      <c r="BN106" s="2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2"/>
      <c r="BN107" s="2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2"/>
      <c r="BN108" s="2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2"/>
      <c r="BN109" s="2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2"/>
      <c r="BN110" s="2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2"/>
      <c r="BN111" s="2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2"/>
      <c r="BN112" s="2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2"/>
      <c r="BN113" s="2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2"/>
      <c r="BN114" s="2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2"/>
      <c r="BN115" s="2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4"/>
      <c r="DQ115" s="44"/>
      <c r="DR115" s="44"/>
      <c r="DS115" s="44"/>
      <c r="DT115" s="44"/>
      <c r="DU115" s="44"/>
      <c r="DV115" s="44"/>
      <c r="DW115" s="44"/>
      <c r="DX115" s="44"/>
      <c r="DY115" s="44"/>
      <c r="DZ115" s="44"/>
      <c r="EA115" s="44"/>
      <c r="EB115" s="44"/>
      <c r="EC115" s="44"/>
      <c r="ED115" s="44"/>
      <c r="EE115" s="44"/>
      <c r="EF115" s="44"/>
      <c r="EG115" s="44"/>
      <c r="EH115" s="44"/>
      <c r="EI115" s="44"/>
      <c r="EJ115" s="44"/>
      <c r="EK115" s="44"/>
      <c r="EL115" s="44"/>
      <c r="EM115" s="44"/>
      <c r="EN115" s="44"/>
      <c r="EO115" s="44"/>
      <c r="EP115" s="44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2"/>
      <c r="BN116" s="2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2"/>
      <c r="BN117" s="2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2"/>
      <c r="BN118" s="2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2"/>
      <c r="BN119" s="2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4"/>
      <c r="DQ119" s="44"/>
      <c r="DR119" s="44"/>
      <c r="DS119" s="44"/>
      <c r="DT119" s="44"/>
      <c r="DU119" s="44"/>
      <c r="DV119" s="44"/>
      <c r="DW119" s="44"/>
      <c r="DX119" s="44"/>
      <c r="DY119" s="44"/>
      <c r="DZ119" s="44"/>
      <c r="EA119" s="44"/>
      <c r="EB119" s="44"/>
      <c r="EC119" s="44"/>
      <c r="ED119" s="44"/>
      <c r="EE119" s="44"/>
      <c r="EF119" s="44"/>
      <c r="EG119" s="44"/>
      <c r="EH119" s="44"/>
      <c r="EI119" s="44"/>
      <c r="EJ119" s="44"/>
      <c r="EK119" s="44"/>
      <c r="EL119" s="44"/>
      <c r="EM119" s="44"/>
      <c r="EN119" s="44"/>
      <c r="EO119" s="44"/>
      <c r="EP119" s="44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2"/>
      <c r="BN120" s="2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2"/>
      <c r="BN121" s="2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4"/>
      <c r="DQ121" s="44"/>
      <c r="DR121" s="44"/>
      <c r="DS121" s="44"/>
      <c r="DT121" s="44"/>
      <c r="DU121" s="44"/>
      <c r="DV121" s="44"/>
      <c r="DW121" s="44"/>
      <c r="DX121" s="44"/>
      <c r="DY121" s="44"/>
      <c r="DZ121" s="44"/>
      <c r="EA121" s="44"/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  <c r="EL121" s="44"/>
      <c r="EM121" s="44"/>
      <c r="EN121" s="44"/>
      <c r="EO121" s="44"/>
      <c r="EP121" s="44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2"/>
      <c r="BN122" s="2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2"/>
      <c r="BN123" s="2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2"/>
      <c r="BN124" s="2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  <c r="EL124" s="44"/>
      <c r="EM124" s="44"/>
      <c r="EN124" s="44"/>
      <c r="EO124" s="44"/>
      <c r="EP124" s="44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2"/>
      <c r="BN125" s="2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4"/>
      <c r="DQ125" s="44"/>
      <c r="DR125" s="44"/>
      <c r="DS125" s="44"/>
      <c r="DT125" s="44"/>
      <c r="DU125" s="44"/>
      <c r="DV125" s="44"/>
      <c r="DW125" s="44"/>
      <c r="DX125" s="44"/>
      <c r="DY125" s="44"/>
      <c r="DZ125" s="44"/>
      <c r="EA125" s="44"/>
      <c r="EB125" s="44"/>
      <c r="EC125" s="44"/>
      <c r="ED125" s="44"/>
      <c r="EE125" s="44"/>
      <c r="EF125" s="44"/>
      <c r="EG125" s="44"/>
      <c r="EH125" s="44"/>
      <c r="EI125" s="44"/>
      <c r="EJ125" s="44"/>
      <c r="EK125" s="44"/>
      <c r="EL125" s="44"/>
      <c r="EM125" s="44"/>
      <c r="EN125" s="44"/>
      <c r="EO125" s="44"/>
      <c r="EP125" s="44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2"/>
      <c r="BN126" s="2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  <c r="EL126" s="44"/>
      <c r="EM126" s="44"/>
      <c r="EN126" s="44"/>
      <c r="EO126" s="44"/>
      <c r="EP126" s="44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2"/>
      <c r="BN127" s="2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4"/>
      <c r="DQ127" s="44"/>
      <c r="DR127" s="44"/>
      <c r="DS127" s="44"/>
      <c r="DT127" s="44"/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  <c r="EL127" s="44"/>
      <c r="EM127" s="44"/>
      <c r="EN127" s="44"/>
      <c r="EO127" s="44"/>
      <c r="EP127" s="44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2"/>
      <c r="BN128" s="2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  <c r="EL128" s="44"/>
      <c r="EM128" s="44"/>
      <c r="EN128" s="44"/>
      <c r="EO128" s="44"/>
      <c r="EP128" s="44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2"/>
      <c r="BN129" s="2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/>
      <c r="EO129" s="44"/>
      <c r="EP129" s="44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2"/>
      <c r="BN130" s="2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4"/>
      <c r="DQ130" s="44"/>
      <c r="DR130" s="44"/>
      <c r="DS130" s="44"/>
      <c r="DT130" s="44"/>
      <c r="DU130" s="44"/>
      <c r="DV130" s="44"/>
      <c r="DW130" s="44"/>
      <c r="DX130" s="44"/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/>
      <c r="EO130" s="44"/>
      <c r="EP130" s="44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2"/>
      <c r="BN131" s="2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4"/>
      <c r="DQ131" s="44"/>
      <c r="DR131" s="44"/>
      <c r="DS131" s="44"/>
      <c r="DT131" s="44"/>
      <c r="DU131" s="44"/>
      <c r="DV131" s="44"/>
      <c r="DW131" s="44"/>
      <c r="DX131" s="44"/>
      <c r="DY131" s="44"/>
      <c r="DZ131" s="44"/>
      <c r="EA131" s="44"/>
      <c r="EB131" s="44"/>
      <c r="EC131" s="44"/>
      <c r="ED131" s="44"/>
      <c r="EE131" s="44"/>
      <c r="EF131" s="44"/>
      <c r="EG131" s="44"/>
      <c r="EH131" s="44"/>
      <c r="EI131" s="44"/>
      <c r="EJ131" s="44"/>
      <c r="EK131" s="44"/>
      <c r="EL131" s="44"/>
      <c r="EM131" s="44"/>
      <c r="EN131" s="44"/>
      <c r="EO131" s="44"/>
      <c r="EP131" s="44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2"/>
      <c r="BN132" s="2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2"/>
      <c r="BN133" s="2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44"/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2"/>
      <c r="BN134" s="2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2"/>
      <c r="BN135" s="2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4"/>
      <c r="DQ135" s="44"/>
      <c r="DR135" s="44"/>
      <c r="DS135" s="44"/>
      <c r="DT135" s="44"/>
      <c r="DU135" s="44"/>
      <c r="DV135" s="44"/>
      <c r="DW135" s="44"/>
      <c r="DX135" s="44"/>
      <c r="DY135" s="44"/>
      <c r="DZ135" s="44"/>
      <c r="EA135" s="44"/>
      <c r="EB135" s="44"/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2"/>
      <c r="BN136" s="2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4"/>
      <c r="DQ136" s="44"/>
      <c r="DR136" s="44"/>
      <c r="DS136" s="44"/>
      <c r="DT136" s="44"/>
      <c r="DU136" s="44"/>
      <c r="DV136" s="44"/>
      <c r="DW136" s="44"/>
      <c r="DX136" s="44"/>
      <c r="DY136" s="44"/>
      <c r="DZ136" s="44"/>
      <c r="EA136" s="44"/>
      <c r="EB136" s="44"/>
      <c r="EC136" s="44"/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2"/>
      <c r="BN137" s="2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4"/>
      <c r="DQ137" s="44"/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/>
      <c r="EE137" s="44"/>
      <c r="EF137" s="44"/>
      <c r="EG137" s="44"/>
      <c r="EH137" s="44"/>
      <c r="EI137" s="44"/>
      <c r="EJ137" s="44"/>
      <c r="EK137" s="44"/>
      <c r="EL137" s="44"/>
      <c r="EM137" s="44"/>
      <c r="EN137" s="44"/>
      <c r="EO137" s="44"/>
      <c r="EP137" s="44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2"/>
      <c r="BN138" s="2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4"/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/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2"/>
      <c r="BN139" s="2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4"/>
      <c r="DQ139" s="44"/>
      <c r="DR139" s="44"/>
      <c r="DS139" s="44"/>
      <c r="DT139" s="44"/>
      <c r="DU139" s="44"/>
      <c r="DV139" s="44"/>
      <c r="DW139" s="44"/>
      <c r="DX139" s="44"/>
      <c r="DY139" s="44"/>
      <c r="DZ139" s="44"/>
      <c r="EA139" s="44"/>
      <c r="EB139" s="44"/>
      <c r="EC139" s="44"/>
      <c r="ED139" s="44"/>
      <c r="EE139" s="44"/>
      <c r="EF139" s="44"/>
      <c r="EG139" s="44"/>
      <c r="EH139" s="44"/>
      <c r="EI139" s="44"/>
      <c r="EJ139" s="44"/>
      <c r="EK139" s="44"/>
      <c r="EL139" s="44"/>
      <c r="EM139" s="44"/>
      <c r="EN139" s="44"/>
      <c r="EO139" s="44"/>
      <c r="EP139" s="44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2"/>
      <c r="BN140" s="2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2"/>
      <c r="BN141" s="2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4"/>
      <c r="DQ141" s="44"/>
      <c r="DR141" s="44"/>
      <c r="DS141" s="44"/>
      <c r="DT141" s="44"/>
      <c r="DU141" s="44"/>
      <c r="DV141" s="44"/>
      <c r="DW141" s="44"/>
      <c r="DX141" s="44"/>
      <c r="DY141" s="44"/>
      <c r="DZ141" s="44"/>
      <c r="EA141" s="44"/>
      <c r="EB141" s="44"/>
      <c r="EC141" s="44"/>
      <c r="ED141" s="44"/>
      <c r="EE141" s="44"/>
      <c r="EF141" s="44"/>
      <c r="EG141" s="44"/>
      <c r="EH141" s="44"/>
      <c r="EI141" s="44"/>
      <c r="EJ141" s="44"/>
      <c r="EK141" s="44"/>
      <c r="EL141" s="44"/>
      <c r="EM141" s="44"/>
      <c r="EN141" s="44"/>
      <c r="EO141" s="44"/>
      <c r="EP141" s="44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2"/>
      <c r="BN142" s="2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/>
      <c r="EJ142" s="44"/>
      <c r="EK142" s="44"/>
      <c r="EL142" s="44"/>
      <c r="EM142" s="44"/>
      <c r="EN142" s="44"/>
      <c r="EO142" s="44"/>
      <c r="EP142" s="44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2"/>
      <c r="BN143" s="2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4"/>
      <c r="DQ143" s="44"/>
      <c r="DR143" s="44"/>
      <c r="DS143" s="44"/>
      <c r="DT143" s="44"/>
      <c r="DU143" s="44"/>
      <c r="DV143" s="44"/>
      <c r="DW143" s="44"/>
      <c r="DX143" s="44"/>
      <c r="DY143" s="44"/>
      <c r="DZ143" s="44"/>
      <c r="EA143" s="44"/>
      <c r="EB143" s="44"/>
      <c r="EC143" s="44"/>
      <c r="ED143" s="44"/>
      <c r="EE143" s="44"/>
      <c r="EF143" s="44"/>
      <c r="EG143" s="44"/>
      <c r="EH143" s="44"/>
      <c r="EI143" s="44"/>
      <c r="EJ143" s="44"/>
      <c r="EK143" s="44"/>
      <c r="EL143" s="44"/>
      <c r="EM143" s="44"/>
      <c r="EN143" s="44"/>
      <c r="EO143" s="44"/>
      <c r="EP143" s="44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2"/>
      <c r="BN144" s="2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2"/>
      <c r="BN145" s="2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4"/>
      <c r="DQ145" s="44"/>
      <c r="DR145" s="44"/>
      <c r="DS145" s="44"/>
      <c r="DT145" s="44"/>
      <c r="DU145" s="44"/>
      <c r="DV145" s="44"/>
      <c r="DW145" s="44"/>
      <c r="DX145" s="44"/>
      <c r="DY145" s="44"/>
      <c r="DZ145" s="44"/>
      <c r="EA145" s="44"/>
      <c r="EB145" s="44"/>
      <c r="EC145" s="44"/>
      <c r="ED145" s="44"/>
      <c r="EE145" s="44"/>
      <c r="EF145" s="44"/>
      <c r="EG145" s="44"/>
      <c r="EH145" s="44"/>
      <c r="EI145" s="44"/>
      <c r="EJ145" s="44"/>
      <c r="EK145" s="44"/>
      <c r="EL145" s="44"/>
      <c r="EM145" s="44"/>
      <c r="EN145" s="44"/>
      <c r="EO145" s="44"/>
      <c r="EP145" s="44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2"/>
      <c r="BN146" s="2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4"/>
      <c r="DQ146" s="44"/>
      <c r="DR146" s="44"/>
      <c r="DS146" s="44"/>
      <c r="DT146" s="44"/>
      <c r="DU146" s="44"/>
      <c r="DV146" s="44"/>
      <c r="DW146" s="44"/>
      <c r="DX146" s="44"/>
      <c r="DY146" s="44"/>
      <c r="DZ146" s="44"/>
      <c r="EA146" s="44"/>
      <c r="EB146" s="44"/>
      <c r="EC146" s="44"/>
      <c r="ED146" s="44"/>
      <c r="EE146" s="44"/>
      <c r="EF146" s="44"/>
      <c r="EG146" s="44"/>
      <c r="EH146" s="44"/>
      <c r="EI146" s="44"/>
      <c r="EJ146" s="44"/>
      <c r="EK146" s="44"/>
      <c r="EL146" s="44"/>
      <c r="EM146" s="44"/>
      <c r="EN146" s="44"/>
      <c r="EO146" s="44"/>
      <c r="EP146" s="44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2"/>
      <c r="BN147" s="2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2"/>
      <c r="BN148" s="2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4"/>
      <c r="DQ148" s="44"/>
      <c r="DR148" s="44"/>
      <c r="DS148" s="44"/>
      <c r="DT148" s="44"/>
      <c r="DU148" s="44"/>
      <c r="DV148" s="44"/>
      <c r="DW148" s="44"/>
      <c r="DX148" s="44"/>
      <c r="DY148" s="44"/>
      <c r="DZ148" s="44"/>
      <c r="EA148" s="44"/>
      <c r="EB148" s="44"/>
      <c r="EC148" s="44"/>
      <c r="ED148" s="44"/>
      <c r="EE148" s="44"/>
      <c r="EF148" s="44"/>
      <c r="EG148" s="44"/>
      <c r="EH148" s="44"/>
      <c r="EI148" s="44"/>
      <c r="EJ148" s="44"/>
      <c r="EK148" s="44"/>
      <c r="EL148" s="44"/>
      <c r="EM148" s="44"/>
      <c r="EN148" s="44"/>
      <c r="EO148" s="44"/>
      <c r="EP148" s="44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2"/>
      <c r="BN149" s="2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4"/>
      <c r="DQ149" s="44"/>
      <c r="DR149" s="44"/>
      <c r="DS149" s="44"/>
      <c r="DT149" s="44"/>
      <c r="DU149" s="44"/>
      <c r="DV149" s="44"/>
      <c r="DW149" s="44"/>
      <c r="DX149" s="44"/>
      <c r="DY149" s="44"/>
      <c r="DZ149" s="44"/>
      <c r="EA149" s="44"/>
      <c r="EB149" s="44"/>
      <c r="EC149" s="44"/>
      <c r="ED149" s="44"/>
      <c r="EE149" s="44"/>
      <c r="EF149" s="44"/>
      <c r="EG149" s="44"/>
      <c r="EH149" s="44"/>
      <c r="EI149" s="44"/>
      <c r="EJ149" s="44"/>
      <c r="EK149" s="44"/>
      <c r="EL149" s="44"/>
      <c r="EM149" s="44"/>
      <c r="EN149" s="44"/>
      <c r="EO149" s="44"/>
      <c r="EP149" s="44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2"/>
      <c r="BN150" s="2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4"/>
      <c r="DQ150" s="44"/>
      <c r="DR150" s="44"/>
      <c r="DS150" s="44"/>
      <c r="DT150" s="44"/>
      <c r="DU150" s="44"/>
      <c r="DV150" s="44"/>
      <c r="DW150" s="44"/>
      <c r="DX150" s="44"/>
      <c r="DY150" s="44"/>
      <c r="DZ150" s="44"/>
      <c r="EA150" s="44"/>
      <c r="EB150" s="44"/>
      <c r="EC150" s="44"/>
      <c r="ED150" s="44"/>
      <c r="EE150" s="44"/>
      <c r="EF150" s="44"/>
      <c r="EG150" s="44"/>
      <c r="EH150" s="44"/>
      <c r="EI150" s="44"/>
      <c r="EJ150" s="44"/>
      <c r="EK150" s="44"/>
      <c r="EL150" s="44"/>
      <c r="EM150" s="44"/>
      <c r="EN150" s="44"/>
      <c r="EO150" s="44"/>
      <c r="EP150" s="44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2"/>
      <c r="BN151" s="2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4"/>
      <c r="DQ151" s="44"/>
      <c r="DR151" s="44"/>
      <c r="DS151" s="44"/>
      <c r="DT151" s="44"/>
      <c r="DU151" s="44"/>
      <c r="DV151" s="44"/>
      <c r="DW151" s="44"/>
      <c r="DX151" s="44"/>
      <c r="DY151" s="44"/>
      <c r="DZ151" s="44"/>
      <c r="EA151" s="44"/>
      <c r="EB151" s="44"/>
      <c r="EC151" s="44"/>
      <c r="ED151" s="44"/>
      <c r="EE151" s="44"/>
      <c r="EF151" s="44"/>
      <c r="EG151" s="44"/>
      <c r="EH151" s="44"/>
      <c r="EI151" s="44"/>
      <c r="EJ151" s="44"/>
      <c r="EK151" s="44"/>
      <c r="EL151" s="44"/>
      <c r="EM151" s="44"/>
      <c r="EN151" s="44"/>
      <c r="EO151" s="44"/>
      <c r="EP151" s="44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2"/>
      <c r="BN152" s="2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4"/>
      <c r="DQ152" s="44"/>
      <c r="DR152" s="44"/>
      <c r="DS152" s="44"/>
      <c r="DT152" s="44"/>
      <c r="DU152" s="44"/>
      <c r="DV152" s="44"/>
      <c r="DW152" s="44"/>
      <c r="DX152" s="44"/>
      <c r="DY152" s="44"/>
      <c r="DZ152" s="44"/>
      <c r="EA152" s="44"/>
      <c r="EB152" s="44"/>
      <c r="EC152" s="44"/>
      <c r="ED152" s="44"/>
      <c r="EE152" s="44"/>
      <c r="EF152" s="44"/>
      <c r="EG152" s="44"/>
      <c r="EH152" s="44"/>
      <c r="EI152" s="44"/>
      <c r="EJ152" s="44"/>
      <c r="EK152" s="44"/>
      <c r="EL152" s="44"/>
      <c r="EM152" s="44"/>
      <c r="EN152" s="44"/>
      <c r="EO152" s="44"/>
      <c r="EP152" s="44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2"/>
      <c r="BN153" s="2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4"/>
      <c r="DQ153" s="44"/>
      <c r="DR153" s="44"/>
      <c r="DS153" s="44"/>
      <c r="DT153" s="44"/>
      <c r="DU153" s="44"/>
      <c r="DV153" s="44"/>
      <c r="DW153" s="44"/>
      <c r="DX153" s="44"/>
      <c r="DY153" s="44"/>
      <c r="DZ153" s="44"/>
      <c r="EA153" s="44"/>
      <c r="EB153" s="44"/>
      <c r="EC153" s="44"/>
      <c r="ED153" s="44"/>
      <c r="EE153" s="44"/>
      <c r="EF153" s="44"/>
      <c r="EG153" s="44"/>
      <c r="EH153" s="44"/>
      <c r="EI153" s="44"/>
      <c r="EJ153" s="44"/>
      <c r="EK153" s="44"/>
      <c r="EL153" s="44"/>
      <c r="EM153" s="44"/>
      <c r="EN153" s="44"/>
      <c r="EO153" s="44"/>
      <c r="EP153" s="44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2"/>
      <c r="BN154" s="2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2"/>
      <c r="BN155" s="2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4"/>
      <c r="DQ155" s="44"/>
      <c r="DR155" s="44"/>
      <c r="DS155" s="44"/>
      <c r="DT155" s="44"/>
      <c r="DU155" s="44"/>
      <c r="DV155" s="44"/>
      <c r="DW155" s="44"/>
      <c r="DX155" s="44"/>
      <c r="DY155" s="44"/>
      <c r="DZ155" s="44"/>
      <c r="EA155" s="44"/>
      <c r="EB155" s="44"/>
      <c r="EC155" s="44"/>
      <c r="ED155" s="44"/>
      <c r="EE155" s="44"/>
      <c r="EF155" s="44"/>
      <c r="EG155" s="44"/>
      <c r="EH155" s="44"/>
      <c r="EI155" s="44"/>
      <c r="EJ155" s="44"/>
      <c r="EK155" s="44"/>
      <c r="EL155" s="44"/>
      <c r="EM155" s="44"/>
      <c r="EN155" s="44"/>
      <c r="EO155" s="44"/>
      <c r="EP155" s="44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2"/>
      <c r="BN156" s="2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4"/>
      <c r="DQ156" s="44"/>
      <c r="DR156" s="44"/>
      <c r="DS156" s="44"/>
      <c r="DT156" s="44"/>
      <c r="DU156" s="44"/>
      <c r="DV156" s="44"/>
      <c r="DW156" s="44"/>
      <c r="DX156" s="44"/>
      <c r="DY156" s="44"/>
      <c r="DZ156" s="44"/>
      <c r="EA156" s="44"/>
      <c r="EB156" s="44"/>
      <c r="EC156" s="44"/>
      <c r="ED156" s="44"/>
      <c r="EE156" s="44"/>
      <c r="EF156" s="44"/>
      <c r="EG156" s="44"/>
      <c r="EH156" s="44"/>
      <c r="EI156" s="44"/>
      <c r="EJ156" s="44"/>
      <c r="EK156" s="44"/>
      <c r="EL156" s="44"/>
      <c r="EM156" s="44"/>
      <c r="EN156" s="44"/>
      <c r="EO156" s="44"/>
      <c r="EP156" s="44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2"/>
      <c r="BN157" s="2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4"/>
      <c r="DQ157" s="44"/>
      <c r="DR157" s="44"/>
      <c r="DS157" s="44"/>
      <c r="DT157" s="44"/>
      <c r="DU157" s="44"/>
      <c r="DV157" s="44"/>
      <c r="DW157" s="44"/>
      <c r="DX157" s="44"/>
      <c r="DY157" s="44"/>
      <c r="DZ157" s="44"/>
      <c r="EA157" s="44"/>
      <c r="EB157" s="44"/>
      <c r="EC157" s="44"/>
      <c r="ED157" s="44"/>
      <c r="EE157" s="44"/>
      <c r="EF157" s="44"/>
      <c r="EG157" s="44"/>
      <c r="EH157" s="44"/>
      <c r="EI157" s="44"/>
      <c r="EJ157" s="44"/>
      <c r="EK157" s="44"/>
      <c r="EL157" s="44"/>
      <c r="EM157" s="44"/>
      <c r="EN157" s="44"/>
      <c r="EO157" s="44"/>
      <c r="EP157" s="44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2"/>
      <c r="BN158" s="2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4"/>
      <c r="DQ158" s="44"/>
      <c r="DR158" s="44"/>
      <c r="DS158" s="44"/>
      <c r="DT158" s="44"/>
      <c r="DU158" s="44"/>
      <c r="DV158" s="44"/>
      <c r="DW158" s="44"/>
      <c r="DX158" s="44"/>
      <c r="DY158" s="44"/>
      <c r="DZ158" s="44"/>
      <c r="EA158" s="44"/>
      <c r="EB158" s="44"/>
      <c r="EC158" s="44"/>
      <c r="ED158" s="44"/>
      <c r="EE158" s="44"/>
      <c r="EF158" s="44"/>
      <c r="EG158" s="44"/>
      <c r="EH158" s="44"/>
      <c r="EI158" s="44"/>
      <c r="EJ158" s="44"/>
      <c r="EK158" s="44"/>
      <c r="EL158" s="44"/>
      <c r="EM158" s="44"/>
      <c r="EN158" s="44"/>
      <c r="EO158" s="44"/>
      <c r="EP158" s="44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2"/>
      <c r="BN159" s="2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4"/>
      <c r="DQ159" s="44"/>
      <c r="DR159" s="44"/>
      <c r="DS159" s="44"/>
      <c r="DT159" s="44"/>
      <c r="DU159" s="44"/>
      <c r="DV159" s="44"/>
      <c r="DW159" s="44"/>
      <c r="DX159" s="44"/>
      <c r="DY159" s="44"/>
      <c r="DZ159" s="44"/>
      <c r="EA159" s="44"/>
      <c r="EB159" s="44"/>
      <c r="EC159" s="44"/>
      <c r="ED159" s="44"/>
      <c r="EE159" s="44"/>
      <c r="EF159" s="44"/>
      <c r="EG159" s="44"/>
      <c r="EH159" s="44"/>
      <c r="EI159" s="44"/>
      <c r="EJ159" s="44"/>
      <c r="EK159" s="44"/>
      <c r="EL159" s="44"/>
      <c r="EM159" s="44"/>
      <c r="EN159" s="44"/>
      <c r="EO159" s="44"/>
      <c r="EP159" s="44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2"/>
      <c r="BN160" s="2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4"/>
      <c r="DQ160" s="44"/>
      <c r="DR160" s="44"/>
      <c r="DS160" s="44"/>
      <c r="DT160" s="44"/>
      <c r="DU160" s="44"/>
      <c r="DV160" s="44"/>
      <c r="DW160" s="44"/>
      <c r="DX160" s="44"/>
      <c r="DY160" s="44"/>
      <c r="DZ160" s="44"/>
      <c r="EA160" s="44"/>
      <c r="EB160" s="44"/>
      <c r="EC160" s="44"/>
      <c r="ED160" s="44"/>
      <c r="EE160" s="44"/>
      <c r="EF160" s="44"/>
      <c r="EG160" s="44"/>
      <c r="EH160" s="44"/>
      <c r="EI160" s="44"/>
      <c r="EJ160" s="44"/>
      <c r="EK160" s="44"/>
      <c r="EL160" s="44"/>
      <c r="EM160" s="44"/>
      <c r="EN160" s="44"/>
      <c r="EO160" s="44"/>
      <c r="EP160" s="44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2"/>
      <c r="BN161" s="2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4"/>
      <c r="DQ161" s="44"/>
      <c r="DR161" s="44"/>
      <c r="DS161" s="44"/>
      <c r="DT161" s="44"/>
      <c r="DU161" s="44"/>
      <c r="DV161" s="44"/>
      <c r="DW161" s="44"/>
      <c r="DX161" s="44"/>
      <c r="DY161" s="44"/>
      <c r="DZ161" s="44"/>
      <c r="EA161" s="44"/>
      <c r="EB161" s="44"/>
      <c r="EC161" s="44"/>
      <c r="ED161" s="44"/>
      <c r="EE161" s="44"/>
      <c r="EF161" s="44"/>
      <c r="EG161" s="44"/>
      <c r="EH161" s="44"/>
      <c r="EI161" s="44"/>
      <c r="EJ161" s="44"/>
      <c r="EK161" s="44"/>
      <c r="EL161" s="44"/>
      <c r="EM161" s="44"/>
      <c r="EN161" s="44"/>
      <c r="EO161" s="44"/>
      <c r="EP161" s="44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2"/>
      <c r="BN162" s="2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4"/>
      <c r="DQ162" s="44"/>
      <c r="DR162" s="44"/>
      <c r="DS162" s="44"/>
      <c r="DT162" s="44"/>
      <c r="DU162" s="44"/>
      <c r="DV162" s="44"/>
      <c r="DW162" s="44"/>
      <c r="DX162" s="44"/>
      <c r="DY162" s="44"/>
      <c r="DZ162" s="44"/>
      <c r="EA162" s="44"/>
      <c r="EB162" s="44"/>
      <c r="EC162" s="44"/>
      <c r="ED162" s="44"/>
      <c r="EE162" s="44"/>
      <c r="EF162" s="44"/>
      <c r="EG162" s="44"/>
      <c r="EH162" s="44"/>
      <c r="EI162" s="44"/>
      <c r="EJ162" s="44"/>
      <c r="EK162" s="44"/>
      <c r="EL162" s="44"/>
      <c r="EM162" s="44"/>
      <c r="EN162" s="44"/>
      <c r="EO162" s="44"/>
      <c r="EP162" s="44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2"/>
      <c r="BN163" s="2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4"/>
      <c r="DQ163" s="44"/>
      <c r="DR163" s="44"/>
      <c r="DS163" s="44"/>
      <c r="DT163" s="44"/>
      <c r="DU163" s="44"/>
      <c r="DV163" s="44"/>
      <c r="DW163" s="44"/>
      <c r="DX163" s="44"/>
      <c r="DY163" s="44"/>
      <c r="DZ163" s="44"/>
      <c r="EA163" s="44"/>
      <c r="EB163" s="44"/>
      <c r="EC163" s="44"/>
      <c r="ED163" s="44"/>
      <c r="EE163" s="44"/>
      <c r="EF163" s="44"/>
      <c r="EG163" s="44"/>
      <c r="EH163" s="44"/>
      <c r="EI163" s="44"/>
      <c r="EJ163" s="44"/>
      <c r="EK163" s="44"/>
      <c r="EL163" s="44"/>
      <c r="EM163" s="44"/>
      <c r="EN163" s="44"/>
      <c r="EO163" s="44"/>
      <c r="EP163" s="44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2"/>
      <c r="BN164" s="2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4"/>
      <c r="DQ164" s="44"/>
      <c r="DR164" s="44"/>
      <c r="DS164" s="44"/>
      <c r="DT164" s="44"/>
      <c r="DU164" s="44"/>
      <c r="DV164" s="44"/>
      <c r="DW164" s="44"/>
      <c r="DX164" s="44"/>
      <c r="DY164" s="44"/>
      <c r="DZ164" s="44"/>
      <c r="EA164" s="44"/>
      <c r="EB164" s="44"/>
      <c r="EC164" s="44"/>
      <c r="ED164" s="44"/>
      <c r="EE164" s="44"/>
      <c r="EF164" s="44"/>
      <c r="EG164" s="44"/>
      <c r="EH164" s="44"/>
      <c r="EI164" s="44"/>
      <c r="EJ164" s="44"/>
      <c r="EK164" s="44"/>
      <c r="EL164" s="44"/>
      <c r="EM164" s="44"/>
      <c r="EN164" s="44"/>
      <c r="EO164" s="44"/>
      <c r="EP164" s="44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2"/>
      <c r="BN165" s="2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4"/>
      <c r="DQ165" s="44"/>
      <c r="DR165" s="44"/>
      <c r="DS165" s="44"/>
      <c r="DT165" s="44"/>
      <c r="DU165" s="44"/>
      <c r="DV165" s="44"/>
      <c r="DW165" s="44"/>
      <c r="DX165" s="44"/>
      <c r="DY165" s="44"/>
      <c r="DZ165" s="44"/>
      <c r="EA165" s="44"/>
      <c r="EB165" s="44"/>
      <c r="EC165" s="44"/>
      <c r="ED165" s="44"/>
      <c r="EE165" s="44"/>
      <c r="EF165" s="44"/>
      <c r="EG165" s="44"/>
      <c r="EH165" s="44"/>
      <c r="EI165" s="44"/>
      <c r="EJ165" s="44"/>
      <c r="EK165" s="44"/>
      <c r="EL165" s="44"/>
      <c r="EM165" s="44"/>
      <c r="EN165" s="44"/>
      <c r="EO165" s="44"/>
      <c r="EP165" s="44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2"/>
      <c r="BN166" s="2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4"/>
      <c r="DQ166" s="44"/>
      <c r="DR166" s="44"/>
      <c r="DS166" s="44"/>
      <c r="DT166" s="44"/>
      <c r="DU166" s="44"/>
      <c r="DV166" s="44"/>
      <c r="DW166" s="44"/>
      <c r="DX166" s="44"/>
      <c r="DY166" s="44"/>
      <c r="DZ166" s="44"/>
      <c r="EA166" s="44"/>
      <c r="EB166" s="44"/>
      <c r="EC166" s="44"/>
      <c r="ED166" s="44"/>
      <c r="EE166" s="44"/>
      <c r="EF166" s="44"/>
      <c r="EG166" s="44"/>
      <c r="EH166" s="44"/>
      <c r="EI166" s="44"/>
      <c r="EJ166" s="44"/>
      <c r="EK166" s="44"/>
      <c r="EL166" s="44"/>
      <c r="EM166" s="44"/>
      <c r="EN166" s="44"/>
      <c r="EO166" s="44"/>
      <c r="EP166" s="44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2"/>
      <c r="BN167" s="2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4"/>
      <c r="DQ167" s="44"/>
      <c r="DR167" s="44"/>
      <c r="DS167" s="44"/>
      <c r="DT167" s="44"/>
      <c r="DU167" s="44"/>
      <c r="DV167" s="44"/>
      <c r="DW167" s="44"/>
      <c r="DX167" s="44"/>
      <c r="DY167" s="44"/>
      <c r="DZ167" s="44"/>
      <c r="EA167" s="44"/>
      <c r="EB167" s="44"/>
      <c r="EC167" s="44"/>
      <c r="ED167" s="44"/>
      <c r="EE167" s="44"/>
      <c r="EF167" s="44"/>
      <c r="EG167" s="44"/>
      <c r="EH167" s="44"/>
      <c r="EI167" s="44"/>
      <c r="EJ167" s="44"/>
      <c r="EK167" s="44"/>
      <c r="EL167" s="44"/>
      <c r="EM167" s="44"/>
      <c r="EN167" s="44"/>
      <c r="EO167" s="44"/>
      <c r="EP167" s="44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2"/>
      <c r="BN168" s="2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4"/>
      <c r="DQ168" s="44"/>
      <c r="DR168" s="44"/>
      <c r="DS168" s="44"/>
      <c r="DT168" s="44"/>
      <c r="DU168" s="44"/>
      <c r="DV168" s="44"/>
      <c r="DW168" s="44"/>
      <c r="DX168" s="44"/>
      <c r="DY168" s="44"/>
      <c r="DZ168" s="44"/>
      <c r="EA168" s="44"/>
      <c r="EB168" s="44"/>
      <c r="EC168" s="44"/>
      <c r="ED168" s="44"/>
      <c r="EE168" s="44"/>
      <c r="EF168" s="44"/>
      <c r="EG168" s="44"/>
      <c r="EH168" s="44"/>
      <c r="EI168" s="44"/>
      <c r="EJ168" s="44"/>
      <c r="EK168" s="44"/>
      <c r="EL168" s="44"/>
      <c r="EM168" s="44"/>
      <c r="EN168" s="44"/>
      <c r="EO168" s="44"/>
      <c r="EP168" s="44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2"/>
      <c r="BN169" s="2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4"/>
      <c r="DQ169" s="44"/>
      <c r="DR169" s="44"/>
      <c r="DS169" s="44"/>
      <c r="DT169" s="44"/>
      <c r="DU169" s="44"/>
      <c r="DV169" s="44"/>
      <c r="DW169" s="44"/>
      <c r="DX169" s="44"/>
      <c r="DY169" s="44"/>
      <c r="DZ169" s="44"/>
      <c r="EA169" s="44"/>
      <c r="EB169" s="44"/>
      <c r="EC169" s="44"/>
      <c r="ED169" s="44"/>
      <c r="EE169" s="44"/>
      <c r="EF169" s="44"/>
      <c r="EG169" s="44"/>
      <c r="EH169" s="44"/>
      <c r="EI169" s="44"/>
      <c r="EJ169" s="44"/>
      <c r="EK169" s="44"/>
      <c r="EL169" s="44"/>
      <c r="EM169" s="44"/>
      <c r="EN169" s="44"/>
      <c r="EO169" s="44"/>
      <c r="EP169" s="44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2"/>
      <c r="BN170" s="2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4"/>
      <c r="DQ170" s="44"/>
      <c r="DR170" s="44"/>
      <c r="DS170" s="44"/>
      <c r="DT170" s="44"/>
      <c r="DU170" s="44"/>
      <c r="DV170" s="44"/>
      <c r="DW170" s="44"/>
      <c r="DX170" s="44"/>
      <c r="DY170" s="44"/>
      <c r="DZ170" s="44"/>
      <c r="EA170" s="44"/>
      <c r="EB170" s="44"/>
      <c r="EC170" s="44"/>
      <c r="ED170" s="44"/>
      <c r="EE170" s="44"/>
      <c r="EF170" s="44"/>
      <c r="EG170" s="44"/>
      <c r="EH170" s="44"/>
      <c r="EI170" s="44"/>
      <c r="EJ170" s="44"/>
      <c r="EK170" s="44"/>
      <c r="EL170" s="44"/>
      <c r="EM170" s="44"/>
      <c r="EN170" s="44"/>
      <c r="EO170" s="44"/>
      <c r="EP170" s="44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2"/>
      <c r="BN171" s="2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4"/>
      <c r="DQ171" s="44"/>
      <c r="DR171" s="44"/>
      <c r="DS171" s="44"/>
      <c r="DT171" s="44"/>
      <c r="DU171" s="44"/>
      <c r="DV171" s="44"/>
      <c r="DW171" s="44"/>
      <c r="DX171" s="44"/>
      <c r="DY171" s="44"/>
      <c r="DZ171" s="44"/>
      <c r="EA171" s="44"/>
      <c r="EB171" s="44"/>
      <c r="EC171" s="44"/>
      <c r="ED171" s="44"/>
      <c r="EE171" s="44"/>
      <c r="EF171" s="44"/>
      <c r="EG171" s="44"/>
      <c r="EH171" s="44"/>
      <c r="EI171" s="44"/>
      <c r="EJ171" s="44"/>
      <c r="EK171" s="44"/>
      <c r="EL171" s="44"/>
      <c r="EM171" s="44"/>
      <c r="EN171" s="44"/>
      <c r="EO171" s="44"/>
      <c r="EP171" s="44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2"/>
      <c r="BN172" s="2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4"/>
      <c r="DQ172" s="44"/>
      <c r="DR172" s="44"/>
      <c r="DS172" s="44"/>
      <c r="DT172" s="44"/>
      <c r="DU172" s="44"/>
      <c r="DV172" s="44"/>
      <c r="DW172" s="44"/>
      <c r="DX172" s="44"/>
      <c r="DY172" s="44"/>
      <c r="DZ172" s="44"/>
      <c r="EA172" s="44"/>
      <c r="EB172" s="44"/>
      <c r="EC172" s="44"/>
      <c r="ED172" s="44"/>
      <c r="EE172" s="44"/>
      <c r="EF172" s="44"/>
      <c r="EG172" s="44"/>
      <c r="EH172" s="44"/>
      <c r="EI172" s="44"/>
      <c r="EJ172" s="44"/>
      <c r="EK172" s="44"/>
      <c r="EL172" s="44"/>
      <c r="EM172" s="44"/>
      <c r="EN172" s="44"/>
      <c r="EO172" s="44"/>
      <c r="EP172" s="44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2"/>
      <c r="BN173" s="2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4"/>
      <c r="DQ173" s="44"/>
      <c r="DR173" s="44"/>
      <c r="DS173" s="44"/>
      <c r="DT173" s="44"/>
      <c r="DU173" s="44"/>
      <c r="DV173" s="44"/>
      <c r="DW173" s="44"/>
      <c r="DX173" s="44"/>
      <c r="DY173" s="44"/>
      <c r="DZ173" s="44"/>
      <c r="EA173" s="44"/>
      <c r="EB173" s="44"/>
      <c r="EC173" s="44"/>
      <c r="ED173" s="44"/>
      <c r="EE173" s="44"/>
      <c r="EF173" s="44"/>
      <c r="EG173" s="44"/>
      <c r="EH173" s="44"/>
      <c r="EI173" s="44"/>
      <c r="EJ173" s="44"/>
      <c r="EK173" s="44"/>
      <c r="EL173" s="44"/>
      <c r="EM173" s="44"/>
      <c r="EN173" s="44"/>
      <c r="EO173" s="44"/>
      <c r="EP173" s="44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2"/>
      <c r="BN174" s="2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4"/>
      <c r="DQ174" s="44"/>
      <c r="DR174" s="44"/>
      <c r="DS174" s="44"/>
      <c r="DT174" s="44"/>
      <c r="DU174" s="44"/>
      <c r="DV174" s="44"/>
      <c r="DW174" s="44"/>
      <c r="DX174" s="44"/>
      <c r="DY174" s="44"/>
      <c r="DZ174" s="44"/>
      <c r="EA174" s="44"/>
      <c r="EB174" s="44"/>
      <c r="EC174" s="44"/>
      <c r="ED174" s="44"/>
      <c r="EE174" s="44"/>
      <c r="EF174" s="44"/>
      <c r="EG174" s="44"/>
      <c r="EH174" s="44"/>
      <c r="EI174" s="44"/>
      <c r="EJ174" s="44"/>
      <c r="EK174" s="44"/>
      <c r="EL174" s="44"/>
      <c r="EM174" s="44"/>
      <c r="EN174" s="44"/>
      <c r="EO174" s="44"/>
      <c r="EP174" s="44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2"/>
      <c r="BN175" s="2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4"/>
      <c r="DQ175" s="44"/>
      <c r="DR175" s="44"/>
      <c r="DS175" s="44"/>
      <c r="DT175" s="44"/>
      <c r="DU175" s="44"/>
      <c r="DV175" s="44"/>
      <c r="DW175" s="44"/>
      <c r="DX175" s="44"/>
      <c r="DY175" s="44"/>
      <c r="DZ175" s="44"/>
      <c r="EA175" s="44"/>
      <c r="EB175" s="44"/>
      <c r="EC175" s="44"/>
      <c r="ED175" s="44"/>
      <c r="EE175" s="44"/>
      <c r="EF175" s="44"/>
      <c r="EG175" s="44"/>
      <c r="EH175" s="44"/>
      <c r="EI175" s="44"/>
      <c r="EJ175" s="44"/>
      <c r="EK175" s="44"/>
      <c r="EL175" s="44"/>
      <c r="EM175" s="44"/>
      <c r="EN175" s="44"/>
      <c r="EO175" s="44"/>
      <c r="EP175" s="44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2"/>
      <c r="BN176" s="2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4"/>
      <c r="DQ176" s="44"/>
      <c r="DR176" s="44"/>
      <c r="DS176" s="44"/>
      <c r="DT176" s="44"/>
      <c r="DU176" s="44"/>
      <c r="DV176" s="44"/>
      <c r="DW176" s="44"/>
      <c r="DX176" s="44"/>
      <c r="DY176" s="44"/>
      <c r="DZ176" s="44"/>
      <c r="EA176" s="44"/>
      <c r="EB176" s="44"/>
      <c r="EC176" s="44"/>
      <c r="ED176" s="44"/>
      <c r="EE176" s="44"/>
      <c r="EF176" s="44"/>
      <c r="EG176" s="44"/>
      <c r="EH176" s="44"/>
      <c r="EI176" s="44"/>
      <c r="EJ176" s="44"/>
      <c r="EK176" s="44"/>
      <c r="EL176" s="44"/>
      <c r="EM176" s="44"/>
      <c r="EN176" s="44"/>
      <c r="EO176" s="44"/>
      <c r="EP176" s="44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2"/>
      <c r="BN177" s="2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4"/>
      <c r="DQ177" s="44"/>
      <c r="DR177" s="44"/>
      <c r="DS177" s="44"/>
      <c r="DT177" s="44"/>
      <c r="DU177" s="44"/>
      <c r="DV177" s="44"/>
      <c r="DW177" s="44"/>
      <c r="DX177" s="44"/>
      <c r="DY177" s="44"/>
      <c r="DZ177" s="44"/>
      <c r="EA177" s="44"/>
      <c r="EB177" s="44"/>
      <c r="EC177" s="44"/>
      <c r="ED177" s="44"/>
      <c r="EE177" s="44"/>
      <c r="EF177" s="44"/>
      <c r="EG177" s="44"/>
      <c r="EH177" s="44"/>
      <c r="EI177" s="44"/>
      <c r="EJ177" s="44"/>
      <c r="EK177" s="44"/>
      <c r="EL177" s="44"/>
      <c r="EM177" s="44"/>
      <c r="EN177" s="44"/>
      <c r="EO177" s="44"/>
      <c r="EP177" s="44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2"/>
      <c r="BN178" s="2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4"/>
      <c r="DQ178" s="44"/>
      <c r="DR178" s="44"/>
      <c r="DS178" s="44"/>
      <c r="DT178" s="44"/>
      <c r="DU178" s="44"/>
      <c r="DV178" s="44"/>
      <c r="DW178" s="44"/>
      <c r="DX178" s="44"/>
      <c r="DY178" s="44"/>
      <c r="DZ178" s="44"/>
      <c r="EA178" s="44"/>
      <c r="EB178" s="44"/>
      <c r="EC178" s="44"/>
      <c r="ED178" s="44"/>
      <c r="EE178" s="44"/>
      <c r="EF178" s="44"/>
      <c r="EG178" s="44"/>
      <c r="EH178" s="44"/>
      <c r="EI178" s="44"/>
      <c r="EJ178" s="44"/>
      <c r="EK178" s="44"/>
      <c r="EL178" s="44"/>
      <c r="EM178" s="44"/>
      <c r="EN178" s="44"/>
      <c r="EO178" s="44"/>
      <c r="EP178" s="44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2"/>
      <c r="BN179" s="2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4"/>
      <c r="DQ179" s="44"/>
      <c r="DR179" s="44"/>
      <c r="DS179" s="44"/>
      <c r="DT179" s="44"/>
      <c r="DU179" s="44"/>
      <c r="DV179" s="44"/>
      <c r="DW179" s="44"/>
      <c r="DX179" s="44"/>
      <c r="DY179" s="44"/>
      <c r="DZ179" s="44"/>
      <c r="EA179" s="44"/>
      <c r="EB179" s="44"/>
      <c r="EC179" s="44"/>
      <c r="ED179" s="44"/>
      <c r="EE179" s="44"/>
      <c r="EF179" s="44"/>
      <c r="EG179" s="44"/>
      <c r="EH179" s="44"/>
      <c r="EI179" s="44"/>
      <c r="EJ179" s="44"/>
      <c r="EK179" s="44"/>
      <c r="EL179" s="44"/>
      <c r="EM179" s="44"/>
      <c r="EN179" s="44"/>
      <c r="EO179" s="44"/>
      <c r="EP179" s="44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2"/>
      <c r="BN180" s="2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4"/>
      <c r="DQ180" s="44"/>
      <c r="DR180" s="44"/>
      <c r="DS180" s="44"/>
      <c r="DT180" s="44"/>
      <c r="DU180" s="44"/>
      <c r="DV180" s="44"/>
      <c r="DW180" s="44"/>
      <c r="DX180" s="44"/>
      <c r="DY180" s="44"/>
      <c r="DZ180" s="44"/>
      <c r="EA180" s="44"/>
      <c r="EB180" s="44"/>
      <c r="EC180" s="44"/>
      <c r="ED180" s="44"/>
      <c r="EE180" s="44"/>
      <c r="EF180" s="44"/>
      <c r="EG180" s="44"/>
      <c r="EH180" s="44"/>
      <c r="EI180" s="44"/>
      <c r="EJ180" s="44"/>
      <c r="EK180" s="44"/>
      <c r="EL180" s="44"/>
      <c r="EM180" s="44"/>
      <c r="EN180" s="44"/>
      <c r="EO180" s="44"/>
      <c r="EP180" s="44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2"/>
      <c r="BN181" s="2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4"/>
      <c r="DQ181" s="44"/>
      <c r="DR181" s="44"/>
      <c r="DS181" s="44"/>
      <c r="DT181" s="44"/>
      <c r="DU181" s="44"/>
      <c r="DV181" s="44"/>
      <c r="DW181" s="44"/>
      <c r="DX181" s="44"/>
      <c r="DY181" s="44"/>
      <c r="DZ181" s="44"/>
      <c r="EA181" s="44"/>
      <c r="EB181" s="44"/>
      <c r="EC181" s="44"/>
      <c r="ED181" s="44"/>
      <c r="EE181" s="44"/>
      <c r="EF181" s="44"/>
      <c r="EG181" s="44"/>
      <c r="EH181" s="44"/>
      <c r="EI181" s="44"/>
      <c r="EJ181" s="44"/>
      <c r="EK181" s="44"/>
      <c r="EL181" s="44"/>
      <c r="EM181" s="44"/>
      <c r="EN181" s="44"/>
      <c r="EO181" s="44"/>
      <c r="EP181" s="44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2"/>
      <c r="BN182" s="2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4"/>
      <c r="DQ182" s="44"/>
      <c r="DR182" s="44"/>
      <c r="DS182" s="44"/>
      <c r="DT182" s="44"/>
      <c r="DU182" s="44"/>
      <c r="DV182" s="44"/>
      <c r="DW182" s="44"/>
      <c r="DX182" s="44"/>
      <c r="DY182" s="44"/>
      <c r="DZ182" s="44"/>
      <c r="EA182" s="44"/>
      <c r="EB182" s="44"/>
      <c r="EC182" s="44"/>
      <c r="ED182" s="44"/>
      <c r="EE182" s="44"/>
      <c r="EF182" s="44"/>
      <c r="EG182" s="44"/>
      <c r="EH182" s="44"/>
      <c r="EI182" s="44"/>
      <c r="EJ182" s="44"/>
      <c r="EK182" s="44"/>
      <c r="EL182" s="44"/>
      <c r="EM182" s="44"/>
      <c r="EN182" s="44"/>
      <c r="EO182" s="44"/>
      <c r="EP182" s="44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2"/>
      <c r="BN183" s="2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4"/>
      <c r="DQ183" s="44"/>
      <c r="DR183" s="44"/>
      <c r="DS183" s="44"/>
      <c r="DT183" s="44"/>
      <c r="DU183" s="44"/>
      <c r="DV183" s="44"/>
      <c r="DW183" s="44"/>
      <c r="DX183" s="44"/>
      <c r="DY183" s="44"/>
      <c r="DZ183" s="44"/>
      <c r="EA183" s="44"/>
      <c r="EB183" s="44"/>
      <c r="EC183" s="44"/>
      <c r="ED183" s="44"/>
      <c r="EE183" s="44"/>
      <c r="EF183" s="44"/>
      <c r="EG183" s="44"/>
      <c r="EH183" s="44"/>
      <c r="EI183" s="44"/>
      <c r="EJ183" s="44"/>
      <c r="EK183" s="44"/>
      <c r="EL183" s="44"/>
      <c r="EM183" s="44"/>
      <c r="EN183" s="44"/>
      <c r="EO183" s="44"/>
      <c r="EP183" s="44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2"/>
      <c r="BN184" s="2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4"/>
      <c r="DQ184" s="44"/>
      <c r="DR184" s="44"/>
      <c r="DS184" s="44"/>
      <c r="DT184" s="44"/>
      <c r="DU184" s="44"/>
      <c r="DV184" s="44"/>
      <c r="DW184" s="44"/>
      <c r="DX184" s="44"/>
      <c r="DY184" s="44"/>
      <c r="DZ184" s="44"/>
      <c r="EA184" s="44"/>
      <c r="EB184" s="44"/>
      <c r="EC184" s="44"/>
      <c r="ED184" s="44"/>
      <c r="EE184" s="44"/>
      <c r="EF184" s="44"/>
      <c r="EG184" s="44"/>
      <c r="EH184" s="44"/>
      <c r="EI184" s="44"/>
      <c r="EJ184" s="44"/>
      <c r="EK184" s="44"/>
      <c r="EL184" s="44"/>
      <c r="EM184" s="44"/>
      <c r="EN184" s="44"/>
      <c r="EO184" s="44"/>
      <c r="EP184" s="44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2"/>
      <c r="BN185" s="2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4"/>
      <c r="DQ185" s="44"/>
      <c r="DR185" s="44"/>
      <c r="DS185" s="44"/>
      <c r="DT185" s="44"/>
      <c r="DU185" s="44"/>
      <c r="DV185" s="44"/>
      <c r="DW185" s="44"/>
      <c r="DX185" s="44"/>
      <c r="DY185" s="44"/>
      <c r="DZ185" s="44"/>
      <c r="EA185" s="44"/>
      <c r="EB185" s="44"/>
      <c r="EC185" s="44"/>
      <c r="ED185" s="44"/>
      <c r="EE185" s="44"/>
      <c r="EF185" s="44"/>
      <c r="EG185" s="44"/>
      <c r="EH185" s="44"/>
      <c r="EI185" s="44"/>
      <c r="EJ185" s="44"/>
      <c r="EK185" s="44"/>
      <c r="EL185" s="44"/>
      <c r="EM185" s="44"/>
      <c r="EN185" s="44"/>
      <c r="EO185" s="44"/>
      <c r="EP185" s="44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2"/>
      <c r="BN186" s="2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4"/>
      <c r="DQ186" s="44"/>
      <c r="DR186" s="44"/>
      <c r="DS186" s="44"/>
      <c r="DT186" s="44"/>
      <c r="DU186" s="44"/>
      <c r="DV186" s="44"/>
      <c r="DW186" s="44"/>
      <c r="DX186" s="44"/>
      <c r="DY186" s="44"/>
      <c r="DZ186" s="44"/>
      <c r="EA186" s="44"/>
      <c r="EB186" s="44"/>
      <c r="EC186" s="44"/>
      <c r="ED186" s="44"/>
      <c r="EE186" s="44"/>
      <c r="EF186" s="44"/>
      <c r="EG186" s="44"/>
      <c r="EH186" s="44"/>
      <c r="EI186" s="44"/>
      <c r="EJ186" s="44"/>
      <c r="EK186" s="44"/>
      <c r="EL186" s="44"/>
      <c r="EM186" s="44"/>
      <c r="EN186" s="44"/>
      <c r="EO186" s="44"/>
      <c r="EP186" s="44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2"/>
      <c r="BN187" s="2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4"/>
      <c r="DQ187" s="44"/>
      <c r="DR187" s="44"/>
      <c r="DS187" s="44"/>
      <c r="DT187" s="44"/>
      <c r="DU187" s="44"/>
      <c r="DV187" s="44"/>
      <c r="DW187" s="44"/>
      <c r="DX187" s="44"/>
      <c r="DY187" s="44"/>
      <c r="DZ187" s="44"/>
      <c r="EA187" s="44"/>
      <c r="EB187" s="44"/>
      <c r="EC187" s="44"/>
      <c r="ED187" s="44"/>
      <c r="EE187" s="44"/>
      <c r="EF187" s="44"/>
      <c r="EG187" s="44"/>
      <c r="EH187" s="44"/>
      <c r="EI187" s="44"/>
      <c r="EJ187" s="44"/>
      <c r="EK187" s="44"/>
      <c r="EL187" s="44"/>
      <c r="EM187" s="44"/>
      <c r="EN187" s="44"/>
      <c r="EO187" s="44"/>
      <c r="EP187" s="44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2"/>
      <c r="BN188" s="2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4"/>
      <c r="DQ188" s="44"/>
      <c r="DR188" s="44"/>
      <c r="DS188" s="44"/>
      <c r="DT188" s="44"/>
      <c r="DU188" s="44"/>
      <c r="DV188" s="44"/>
      <c r="DW188" s="44"/>
      <c r="DX188" s="44"/>
      <c r="DY188" s="44"/>
      <c r="DZ188" s="44"/>
      <c r="EA188" s="44"/>
      <c r="EB188" s="44"/>
      <c r="EC188" s="44"/>
      <c r="ED188" s="44"/>
      <c r="EE188" s="44"/>
      <c r="EF188" s="44"/>
      <c r="EG188" s="44"/>
      <c r="EH188" s="44"/>
      <c r="EI188" s="44"/>
      <c r="EJ188" s="44"/>
      <c r="EK188" s="44"/>
      <c r="EL188" s="44"/>
      <c r="EM188" s="44"/>
      <c r="EN188" s="44"/>
      <c r="EO188" s="44"/>
      <c r="EP188" s="44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2"/>
      <c r="BN189" s="2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4"/>
      <c r="DQ189" s="44"/>
      <c r="DR189" s="44"/>
      <c r="DS189" s="44"/>
      <c r="DT189" s="44"/>
      <c r="DU189" s="44"/>
      <c r="DV189" s="44"/>
      <c r="DW189" s="44"/>
      <c r="DX189" s="44"/>
      <c r="DY189" s="44"/>
      <c r="DZ189" s="44"/>
      <c r="EA189" s="44"/>
      <c r="EB189" s="44"/>
      <c r="EC189" s="44"/>
      <c r="ED189" s="44"/>
      <c r="EE189" s="44"/>
      <c r="EF189" s="44"/>
      <c r="EG189" s="44"/>
      <c r="EH189" s="44"/>
      <c r="EI189" s="44"/>
      <c r="EJ189" s="44"/>
      <c r="EK189" s="44"/>
      <c r="EL189" s="44"/>
      <c r="EM189" s="44"/>
      <c r="EN189" s="44"/>
      <c r="EO189" s="44"/>
      <c r="EP189" s="44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2"/>
      <c r="BN190" s="2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4"/>
      <c r="DQ190" s="44"/>
      <c r="DR190" s="44"/>
      <c r="DS190" s="44"/>
      <c r="DT190" s="44"/>
      <c r="DU190" s="44"/>
      <c r="DV190" s="44"/>
      <c r="DW190" s="44"/>
      <c r="DX190" s="44"/>
      <c r="DY190" s="44"/>
      <c r="DZ190" s="44"/>
      <c r="EA190" s="44"/>
      <c r="EB190" s="44"/>
      <c r="EC190" s="44"/>
      <c r="ED190" s="44"/>
      <c r="EE190" s="44"/>
      <c r="EF190" s="44"/>
      <c r="EG190" s="44"/>
      <c r="EH190" s="44"/>
      <c r="EI190" s="44"/>
      <c r="EJ190" s="44"/>
      <c r="EK190" s="44"/>
      <c r="EL190" s="44"/>
      <c r="EM190" s="44"/>
      <c r="EN190" s="44"/>
      <c r="EO190" s="44"/>
      <c r="EP190" s="44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2"/>
      <c r="BN191" s="2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4"/>
      <c r="DQ191" s="44"/>
      <c r="DR191" s="44"/>
      <c r="DS191" s="44"/>
      <c r="DT191" s="44"/>
      <c r="DU191" s="44"/>
      <c r="DV191" s="44"/>
      <c r="DW191" s="44"/>
      <c r="DX191" s="44"/>
      <c r="DY191" s="44"/>
      <c r="DZ191" s="44"/>
      <c r="EA191" s="44"/>
      <c r="EB191" s="44"/>
      <c r="EC191" s="44"/>
      <c r="ED191" s="44"/>
      <c r="EE191" s="44"/>
      <c r="EF191" s="44"/>
      <c r="EG191" s="44"/>
      <c r="EH191" s="44"/>
      <c r="EI191" s="44"/>
      <c r="EJ191" s="44"/>
      <c r="EK191" s="44"/>
      <c r="EL191" s="44"/>
      <c r="EM191" s="44"/>
      <c r="EN191" s="44"/>
      <c r="EO191" s="44"/>
      <c r="EP191" s="44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2"/>
      <c r="BN192" s="2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4"/>
      <c r="DQ192" s="44"/>
      <c r="DR192" s="44"/>
      <c r="DS192" s="44"/>
      <c r="DT192" s="44"/>
      <c r="DU192" s="44"/>
      <c r="DV192" s="44"/>
      <c r="DW192" s="44"/>
      <c r="DX192" s="44"/>
      <c r="DY192" s="44"/>
      <c r="DZ192" s="44"/>
      <c r="EA192" s="44"/>
      <c r="EB192" s="44"/>
      <c r="EC192" s="44"/>
      <c r="ED192" s="44"/>
      <c r="EE192" s="44"/>
      <c r="EF192" s="44"/>
      <c r="EG192" s="44"/>
      <c r="EH192" s="44"/>
      <c r="EI192" s="44"/>
      <c r="EJ192" s="44"/>
      <c r="EK192" s="44"/>
      <c r="EL192" s="44"/>
      <c r="EM192" s="44"/>
      <c r="EN192" s="44"/>
      <c r="EO192" s="44"/>
      <c r="EP192" s="44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2"/>
      <c r="BN193" s="2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4"/>
      <c r="DQ193" s="44"/>
      <c r="DR193" s="44"/>
      <c r="DS193" s="44"/>
      <c r="DT193" s="44"/>
      <c r="DU193" s="44"/>
      <c r="DV193" s="44"/>
      <c r="DW193" s="44"/>
      <c r="DX193" s="44"/>
      <c r="DY193" s="44"/>
      <c r="DZ193" s="44"/>
      <c r="EA193" s="44"/>
      <c r="EB193" s="44"/>
      <c r="EC193" s="44"/>
      <c r="ED193" s="44"/>
      <c r="EE193" s="44"/>
      <c r="EF193" s="44"/>
      <c r="EG193" s="44"/>
      <c r="EH193" s="44"/>
      <c r="EI193" s="44"/>
      <c r="EJ193" s="44"/>
      <c r="EK193" s="44"/>
      <c r="EL193" s="44"/>
      <c r="EM193" s="44"/>
      <c r="EN193" s="44"/>
      <c r="EO193" s="44"/>
      <c r="EP193" s="44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2"/>
      <c r="BN194" s="2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4"/>
      <c r="DQ194" s="44"/>
      <c r="DR194" s="44"/>
      <c r="DS194" s="44"/>
      <c r="DT194" s="44"/>
      <c r="DU194" s="44"/>
      <c r="DV194" s="44"/>
      <c r="DW194" s="44"/>
      <c r="DX194" s="44"/>
      <c r="DY194" s="44"/>
      <c r="DZ194" s="44"/>
      <c r="EA194" s="44"/>
      <c r="EB194" s="44"/>
      <c r="EC194" s="44"/>
      <c r="ED194" s="44"/>
      <c r="EE194" s="44"/>
      <c r="EF194" s="44"/>
      <c r="EG194" s="44"/>
      <c r="EH194" s="44"/>
      <c r="EI194" s="44"/>
      <c r="EJ194" s="44"/>
      <c r="EK194" s="44"/>
      <c r="EL194" s="44"/>
      <c r="EM194" s="44"/>
      <c r="EN194" s="44"/>
      <c r="EO194" s="44"/>
      <c r="EP194" s="44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2"/>
      <c r="BN195" s="2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4"/>
      <c r="DQ195" s="44"/>
      <c r="DR195" s="44"/>
      <c r="DS195" s="44"/>
      <c r="DT195" s="44"/>
      <c r="DU195" s="44"/>
      <c r="DV195" s="44"/>
      <c r="DW195" s="44"/>
      <c r="DX195" s="44"/>
      <c r="DY195" s="44"/>
      <c r="DZ195" s="44"/>
      <c r="EA195" s="44"/>
      <c r="EB195" s="44"/>
      <c r="EC195" s="44"/>
      <c r="ED195" s="44"/>
      <c r="EE195" s="44"/>
      <c r="EF195" s="44"/>
      <c r="EG195" s="44"/>
      <c r="EH195" s="44"/>
      <c r="EI195" s="44"/>
      <c r="EJ195" s="44"/>
      <c r="EK195" s="44"/>
      <c r="EL195" s="44"/>
      <c r="EM195" s="44"/>
      <c r="EN195" s="44"/>
      <c r="EO195" s="44"/>
      <c r="EP195" s="44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2"/>
      <c r="BN196" s="2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4"/>
      <c r="DQ196" s="44"/>
      <c r="DR196" s="44"/>
      <c r="DS196" s="44"/>
      <c r="DT196" s="44"/>
      <c r="DU196" s="44"/>
      <c r="DV196" s="44"/>
      <c r="DW196" s="44"/>
      <c r="DX196" s="44"/>
      <c r="DY196" s="44"/>
      <c r="DZ196" s="44"/>
      <c r="EA196" s="44"/>
      <c r="EB196" s="44"/>
      <c r="EC196" s="44"/>
      <c r="ED196" s="44"/>
      <c r="EE196" s="44"/>
      <c r="EF196" s="44"/>
      <c r="EG196" s="44"/>
      <c r="EH196" s="44"/>
      <c r="EI196" s="44"/>
      <c r="EJ196" s="44"/>
      <c r="EK196" s="44"/>
      <c r="EL196" s="44"/>
      <c r="EM196" s="44"/>
      <c r="EN196" s="44"/>
      <c r="EO196" s="44"/>
      <c r="EP196" s="44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2"/>
      <c r="BN197" s="2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4"/>
      <c r="DQ197" s="44"/>
      <c r="DR197" s="44"/>
      <c r="DS197" s="44"/>
      <c r="DT197" s="44"/>
      <c r="DU197" s="44"/>
      <c r="DV197" s="44"/>
      <c r="DW197" s="44"/>
      <c r="DX197" s="44"/>
      <c r="DY197" s="44"/>
      <c r="DZ197" s="44"/>
      <c r="EA197" s="44"/>
      <c r="EB197" s="44"/>
      <c r="EC197" s="44"/>
      <c r="ED197" s="44"/>
      <c r="EE197" s="44"/>
      <c r="EF197" s="44"/>
      <c r="EG197" s="44"/>
      <c r="EH197" s="44"/>
      <c r="EI197" s="44"/>
      <c r="EJ197" s="44"/>
      <c r="EK197" s="44"/>
      <c r="EL197" s="44"/>
      <c r="EM197" s="44"/>
      <c r="EN197" s="44"/>
      <c r="EO197" s="44"/>
      <c r="EP197" s="44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2"/>
      <c r="BN198" s="2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4"/>
      <c r="DQ198" s="44"/>
      <c r="DR198" s="44"/>
      <c r="DS198" s="44"/>
      <c r="DT198" s="44"/>
      <c r="DU198" s="44"/>
      <c r="DV198" s="44"/>
      <c r="DW198" s="44"/>
      <c r="DX198" s="44"/>
      <c r="DY198" s="44"/>
      <c r="DZ198" s="44"/>
      <c r="EA198" s="44"/>
      <c r="EB198" s="44"/>
      <c r="EC198" s="44"/>
      <c r="ED198" s="44"/>
      <c r="EE198" s="44"/>
      <c r="EF198" s="44"/>
      <c r="EG198" s="44"/>
      <c r="EH198" s="44"/>
      <c r="EI198" s="44"/>
      <c r="EJ198" s="44"/>
      <c r="EK198" s="44"/>
      <c r="EL198" s="44"/>
      <c r="EM198" s="44"/>
      <c r="EN198" s="44"/>
      <c r="EO198" s="44"/>
      <c r="EP198" s="44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2"/>
      <c r="BN199" s="2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4"/>
      <c r="DQ199" s="44"/>
      <c r="DR199" s="44"/>
      <c r="DS199" s="44"/>
      <c r="DT199" s="44"/>
      <c r="DU199" s="44"/>
      <c r="DV199" s="44"/>
      <c r="DW199" s="44"/>
      <c r="DX199" s="44"/>
      <c r="DY199" s="44"/>
      <c r="DZ199" s="44"/>
      <c r="EA199" s="44"/>
      <c r="EB199" s="44"/>
      <c r="EC199" s="44"/>
      <c r="ED199" s="44"/>
      <c r="EE199" s="44"/>
      <c r="EF199" s="44"/>
      <c r="EG199" s="44"/>
      <c r="EH199" s="44"/>
      <c r="EI199" s="44"/>
      <c r="EJ199" s="44"/>
      <c r="EK199" s="44"/>
      <c r="EL199" s="44"/>
      <c r="EM199" s="44"/>
      <c r="EN199" s="44"/>
      <c r="EO199" s="44"/>
      <c r="EP199" s="44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2"/>
      <c r="BN200" s="2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2"/>
      <c r="BN201" s="2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2"/>
      <c r="BN202" s="2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2"/>
      <c r="BN203" s="2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2"/>
      <c r="BN204" s="2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2"/>
      <c r="BN205" s="2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4"/>
      <c r="DQ205" s="44"/>
      <c r="DR205" s="44"/>
      <c r="DS205" s="44"/>
      <c r="DT205" s="44"/>
      <c r="DU205" s="44"/>
      <c r="DV205" s="44"/>
      <c r="DW205" s="44"/>
      <c r="DX205" s="44"/>
      <c r="DY205" s="44"/>
      <c r="DZ205" s="44"/>
      <c r="EA205" s="44"/>
      <c r="EB205" s="44"/>
      <c r="EC205" s="44"/>
      <c r="ED205" s="44"/>
      <c r="EE205" s="44"/>
      <c r="EF205" s="44"/>
      <c r="EG205" s="44"/>
      <c r="EH205" s="44"/>
      <c r="EI205" s="44"/>
      <c r="EJ205" s="44"/>
      <c r="EK205" s="44"/>
      <c r="EL205" s="44"/>
      <c r="EM205" s="44"/>
      <c r="EN205" s="44"/>
      <c r="EO205" s="44"/>
      <c r="EP205" s="44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2"/>
      <c r="BN206" s="2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4"/>
      <c r="DQ206" s="44"/>
      <c r="DR206" s="44"/>
      <c r="DS206" s="44"/>
      <c r="DT206" s="44"/>
      <c r="DU206" s="44"/>
      <c r="DV206" s="44"/>
      <c r="DW206" s="44"/>
      <c r="DX206" s="44"/>
      <c r="DY206" s="44"/>
      <c r="DZ206" s="44"/>
      <c r="EA206" s="44"/>
      <c r="EB206" s="44"/>
      <c r="EC206" s="44"/>
      <c r="ED206" s="44"/>
      <c r="EE206" s="44"/>
      <c r="EF206" s="44"/>
      <c r="EG206" s="44"/>
      <c r="EH206" s="44"/>
      <c r="EI206" s="44"/>
      <c r="EJ206" s="44"/>
      <c r="EK206" s="44"/>
      <c r="EL206" s="44"/>
      <c r="EM206" s="44"/>
      <c r="EN206" s="44"/>
      <c r="EO206" s="44"/>
      <c r="EP206" s="44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2"/>
      <c r="BN207" s="2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4"/>
      <c r="DQ207" s="44"/>
      <c r="DR207" s="44"/>
      <c r="DS207" s="44"/>
      <c r="DT207" s="44"/>
      <c r="DU207" s="44"/>
      <c r="DV207" s="44"/>
      <c r="DW207" s="44"/>
      <c r="DX207" s="44"/>
      <c r="DY207" s="44"/>
      <c r="DZ207" s="44"/>
      <c r="EA207" s="44"/>
      <c r="EB207" s="44"/>
      <c r="EC207" s="44"/>
      <c r="ED207" s="44"/>
      <c r="EE207" s="44"/>
      <c r="EF207" s="44"/>
      <c r="EG207" s="44"/>
      <c r="EH207" s="44"/>
      <c r="EI207" s="44"/>
      <c r="EJ207" s="44"/>
      <c r="EK207" s="44"/>
      <c r="EL207" s="44"/>
      <c r="EM207" s="44"/>
      <c r="EN207" s="44"/>
      <c r="EO207" s="44"/>
      <c r="EP207" s="44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2"/>
      <c r="BN208" s="2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4"/>
      <c r="DQ208" s="44"/>
      <c r="DR208" s="44"/>
      <c r="DS208" s="44"/>
      <c r="DT208" s="44"/>
      <c r="DU208" s="44"/>
      <c r="DV208" s="44"/>
      <c r="DW208" s="44"/>
      <c r="DX208" s="44"/>
      <c r="DY208" s="44"/>
      <c r="DZ208" s="44"/>
      <c r="EA208" s="44"/>
      <c r="EB208" s="44"/>
      <c r="EC208" s="44"/>
      <c r="ED208" s="44"/>
      <c r="EE208" s="44"/>
      <c r="EF208" s="44"/>
      <c r="EG208" s="44"/>
      <c r="EH208" s="44"/>
      <c r="EI208" s="44"/>
      <c r="EJ208" s="44"/>
      <c r="EK208" s="44"/>
      <c r="EL208" s="44"/>
      <c r="EM208" s="44"/>
      <c r="EN208" s="44"/>
      <c r="EO208" s="44"/>
      <c r="EP208" s="44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2"/>
      <c r="BN209" s="2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4"/>
      <c r="DQ209" s="44"/>
      <c r="DR209" s="44"/>
      <c r="DS209" s="44"/>
      <c r="DT209" s="44"/>
      <c r="DU209" s="44"/>
      <c r="DV209" s="44"/>
      <c r="DW209" s="44"/>
      <c r="DX209" s="44"/>
      <c r="DY209" s="44"/>
      <c r="DZ209" s="44"/>
      <c r="EA209" s="44"/>
      <c r="EB209" s="44"/>
      <c r="EC209" s="44"/>
      <c r="ED209" s="44"/>
      <c r="EE209" s="44"/>
      <c r="EF209" s="44"/>
      <c r="EG209" s="44"/>
      <c r="EH209" s="44"/>
      <c r="EI209" s="44"/>
      <c r="EJ209" s="44"/>
      <c r="EK209" s="44"/>
      <c r="EL209" s="44"/>
      <c r="EM209" s="44"/>
      <c r="EN209" s="44"/>
      <c r="EO209" s="44"/>
      <c r="EP209" s="44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2"/>
      <c r="BN210" s="2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4"/>
      <c r="DQ210" s="44"/>
      <c r="DR210" s="44"/>
      <c r="DS210" s="44"/>
      <c r="DT210" s="44"/>
      <c r="DU210" s="44"/>
      <c r="DV210" s="44"/>
      <c r="DW210" s="44"/>
      <c r="DX210" s="44"/>
      <c r="DY210" s="44"/>
      <c r="DZ210" s="44"/>
      <c r="EA210" s="44"/>
      <c r="EB210" s="44"/>
      <c r="EC210" s="44"/>
      <c r="ED210" s="44"/>
      <c r="EE210" s="44"/>
      <c r="EF210" s="44"/>
      <c r="EG210" s="44"/>
      <c r="EH210" s="44"/>
      <c r="EI210" s="44"/>
      <c r="EJ210" s="44"/>
      <c r="EK210" s="44"/>
      <c r="EL210" s="44"/>
      <c r="EM210" s="44"/>
      <c r="EN210" s="44"/>
      <c r="EO210" s="44"/>
      <c r="EP210" s="44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2"/>
      <c r="BN211" s="2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4"/>
      <c r="DQ211" s="44"/>
      <c r="DR211" s="44"/>
      <c r="DS211" s="44"/>
      <c r="DT211" s="44"/>
      <c r="DU211" s="44"/>
      <c r="DV211" s="44"/>
      <c r="DW211" s="44"/>
      <c r="DX211" s="44"/>
      <c r="DY211" s="44"/>
      <c r="DZ211" s="44"/>
      <c r="EA211" s="44"/>
      <c r="EB211" s="44"/>
      <c r="EC211" s="44"/>
      <c r="ED211" s="44"/>
      <c r="EE211" s="44"/>
      <c r="EF211" s="44"/>
      <c r="EG211" s="44"/>
      <c r="EH211" s="44"/>
      <c r="EI211" s="44"/>
      <c r="EJ211" s="44"/>
      <c r="EK211" s="44"/>
      <c r="EL211" s="44"/>
      <c r="EM211" s="44"/>
      <c r="EN211" s="44"/>
      <c r="EO211" s="44"/>
      <c r="EP211" s="44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2"/>
      <c r="BN212" s="2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4"/>
      <c r="DQ212" s="44"/>
      <c r="DR212" s="44"/>
      <c r="DS212" s="44"/>
      <c r="DT212" s="44"/>
      <c r="DU212" s="44"/>
      <c r="DV212" s="44"/>
      <c r="DW212" s="44"/>
      <c r="DX212" s="44"/>
      <c r="DY212" s="44"/>
      <c r="DZ212" s="44"/>
      <c r="EA212" s="44"/>
      <c r="EB212" s="44"/>
      <c r="EC212" s="44"/>
      <c r="ED212" s="44"/>
      <c r="EE212" s="44"/>
      <c r="EF212" s="44"/>
      <c r="EG212" s="44"/>
      <c r="EH212" s="44"/>
      <c r="EI212" s="44"/>
      <c r="EJ212" s="44"/>
      <c r="EK212" s="44"/>
      <c r="EL212" s="44"/>
      <c r="EM212" s="44"/>
      <c r="EN212" s="44"/>
      <c r="EO212" s="44"/>
      <c r="EP212" s="44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2"/>
      <c r="BN213" s="2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4"/>
      <c r="DQ213" s="44"/>
      <c r="DR213" s="44"/>
      <c r="DS213" s="44"/>
      <c r="DT213" s="44"/>
      <c r="DU213" s="44"/>
      <c r="DV213" s="44"/>
      <c r="DW213" s="44"/>
      <c r="DX213" s="44"/>
      <c r="DY213" s="44"/>
      <c r="DZ213" s="44"/>
      <c r="EA213" s="44"/>
      <c r="EB213" s="44"/>
      <c r="EC213" s="44"/>
      <c r="ED213" s="44"/>
      <c r="EE213" s="44"/>
      <c r="EF213" s="44"/>
      <c r="EG213" s="44"/>
      <c r="EH213" s="44"/>
      <c r="EI213" s="44"/>
      <c r="EJ213" s="44"/>
      <c r="EK213" s="44"/>
      <c r="EL213" s="44"/>
      <c r="EM213" s="44"/>
      <c r="EN213" s="44"/>
      <c r="EO213" s="44"/>
      <c r="EP213" s="44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2"/>
      <c r="BN214" s="2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4"/>
      <c r="DQ214" s="44"/>
      <c r="DR214" s="44"/>
      <c r="DS214" s="44"/>
      <c r="DT214" s="44"/>
      <c r="DU214" s="44"/>
      <c r="DV214" s="44"/>
      <c r="DW214" s="44"/>
      <c r="DX214" s="44"/>
      <c r="DY214" s="44"/>
      <c r="DZ214" s="44"/>
      <c r="EA214" s="44"/>
      <c r="EB214" s="44"/>
      <c r="EC214" s="44"/>
      <c r="ED214" s="44"/>
      <c r="EE214" s="44"/>
      <c r="EF214" s="44"/>
      <c r="EG214" s="44"/>
      <c r="EH214" s="44"/>
      <c r="EI214" s="44"/>
      <c r="EJ214" s="44"/>
      <c r="EK214" s="44"/>
      <c r="EL214" s="44"/>
      <c r="EM214" s="44"/>
      <c r="EN214" s="44"/>
      <c r="EO214" s="44"/>
      <c r="EP214" s="44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2"/>
      <c r="BN215" s="2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4"/>
      <c r="DQ215" s="44"/>
      <c r="DR215" s="44"/>
      <c r="DS215" s="44"/>
      <c r="DT215" s="44"/>
      <c r="DU215" s="44"/>
      <c r="DV215" s="44"/>
      <c r="DW215" s="44"/>
      <c r="DX215" s="44"/>
      <c r="DY215" s="44"/>
      <c r="DZ215" s="44"/>
      <c r="EA215" s="44"/>
      <c r="EB215" s="44"/>
      <c r="EC215" s="44"/>
      <c r="ED215" s="44"/>
      <c r="EE215" s="44"/>
      <c r="EF215" s="44"/>
      <c r="EG215" s="44"/>
      <c r="EH215" s="44"/>
      <c r="EI215" s="44"/>
      <c r="EJ215" s="44"/>
      <c r="EK215" s="44"/>
      <c r="EL215" s="44"/>
      <c r="EM215" s="44"/>
      <c r="EN215" s="44"/>
      <c r="EO215" s="44"/>
      <c r="EP215" s="44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2"/>
      <c r="BN216" s="2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4"/>
      <c r="DQ216" s="44"/>
      <c r="DR216" s="44"/>
      <c r="DS216" s="44"/>
      <c r="DT216" s="44"/>
      <c r="DU216" s="44"/>
      <c r="DV216" s="44"/>
      <c r="DW216" s="44"/>
      <c r="DX216" s="44"/>
      <c r="DY216" s="44"/>
      <c r="DZ216" s="44"/>
      <c r="EA216" s="44"/>
      <c r="EB216" s="44"/>
      <c r="EC216" s="44"/>
      <c r="ED216" s="44"/>
      <c r="EE216" s="44"/>
      <c r="EF216" s="44"/>
      <c r="EG216" s="44"/>
      <c r="EH216" s="44"/>
      <c r="EI216" s="44"/>
      <c r="EJ216" s="44"/>
      <c r="EK216" s="44"/>
      <c r="EL216" s="44"/>
      <c r="EM216" s="44"/>
      <c r="EN216" s="44"/>
      <c r="EO216" s="44"/>
      <c r="EP216" s="44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2"/>
      <c r="BN217" s="2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4"/>
      <c r="DQ217" s="44"/>
      <c r="DR217" s="44"/>
      <c r="DS217" s="44"/>
      <c r="DT217" s="44"/>
      <c r="DU217" s="44"/>
      <c r="DV217" s="44"/>
      <c r="DW217" s="44"/>
      <c r="DX217" s="44"/>
      <c r="DY217" s="44"/>
      <c r="DZ217" s="44"/>
      <c r="EA217" s="44"/>
      <c r="EB217" s="44"/>
      <c r="EC217" s="44"/>
      <c r="ED217" s="44"/>
      <c r="EE217" s="44"/>
      <c r="EF217" s="44"/>
      <c r="EG217" s="44"/>
      <c r="EH217" s="44"/>
      <c r="EI217" s="44"/>
      <c r="EJ217" s="44"/>
      <c r="EK217" s="44"/>
      <c r="EL217" s="44"/>
      <c r="EM217" s="44"/>
      <c r="EN217" s="44"/>
      <c r="EO217" s="44"/>
      <c r="EP217" s="44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2"/>
      <c r="BN218" s="2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4"/>
      <c r="DQ218" s="44"/>
      <c r="DR218" s="44"/>
      <c r="DS218" s="44"/>
      <c r="DT218" s="44"/>
      <c r="DU218" s="44"/>
      <c r="DV218" s="44"/>
      <c r="DW218" s="44"/>
      <c r="DX218" s="44"/>
      <c r="DY218" s="44"/>
      <c r="DZ218" s="44"/>
      <c r="EA218" s="44"/>
      <c r="EB218" s="44"/>
      <c r="EC218" s="44"/>
      <c r="ED218" s="44"/>
      <c r="EE218" s="44"/>
      <c r="EF218" s="44"/>
      <c r="EG218" s="44"/>
      <c r="EH218" s="44"/>
      <c r="EI218" s="44"/>
      <c r="EJ218" s="44"/>
      <c r="EK218" s="44"/>
      <c r="EL218" s="44"/>
      <c r="EM218" s="44"/>
      <c r="EN218" s="44"/>
      <c r="EO218" s="44"/>
      <c r="EP218" s="44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2"/>
      <c r="BN219" s="2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4"/>
      <c r="DQ219" s="44"/>
      <c r="DR219" s="44"/>
      <c r="DS219" s="44"/>
      <c r="DT219" s="44"/>
      <c r="DU219" s="44"/>
      <c r="DV219" s="44"/>
      <c r="DW219" s="44"/>
      <c r="DX219" s="44"/>
      <c r="DY219" s="44"/>
      <c r="DZ219" s="44"/>
      <c r="EA219" s="44"/>
      <c r="EB219" s="44"/>
      <c r="EC219" s="44"/>
      <c r="ED219" s="44"/>
      <c r="EE219" s="44"/>
      <c r="EF219" s="44"/>
      <c r="EG219" s="44"/>
      <c r="EH219" s="44"/>
      <c r="EI219" s="44"/>
      <c r="EJ219" s="44"/>
      <c r="EK219" s="44"/>
      <c r="EL219" s="44"/>
      <c r="EM219" s="44"/>
      <c r="EN219" s="44"/>
      <c r="EO219" s="44"/>
      <c r="EP219" s="44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2"/>
      <c r="BN220" s="2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4"/>
      <c r="DQ220" s="44"/>
      <c r="DR220" s="44"/>
      <c r="DS220" s="44"/>
      <c r="DT220" s="44"/>
      <c r="DU220" s="44"/>
      <c r="DV220" s="44"/>
      <c r="DW220" s="44"/>
      <c r="DX220" s="44"/>
      <c r="DY220" s="44"/>
      <c r="DZ220" s="44"/>
      <c r="EA220" s="44"/>
      <c r="EB220" s="44"/>
      <c r="EC220" s="44"/>
      <c r="ED220" s="44"/>
      <c r="EE220" s="44"/>
      <c r="EF220" s="44"/>
      <c r="EG220" s="44"/>
      <c r="EH220" s="44"/>
      <c r="EI220" s="44"/>
      <c r="EJ220" s="44"/>
      <c r="EK220" s="44"/>
      <c r="EL220" s="44"/>
      <c r="EM220" s="44"/>
      <c r="EN220" s="44"/>
      <c r="EO220" s="44"/>
      <c r="EP220" s="44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2"/>
      <c r="BN221" s="2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4"/>
      <c r="DQ221" s="44"/>
      <c r="DR221" s="44"/>
      <c r="DS221" s="44"/>
      <c r="DT221" s="44"/>
      <c r="DU221" s="44"/>
      <c r="DV221" s="44"/>
      <c r="DW221" s="44"/>
      <c r="DX221" s="44"/>
      <c r="DY221" s="44"/>
      <c r="DZ221" s="44"/>
      <c r="EA221" s="44"/>
      <c r="EB221" s="44"/>
      <c r="EC221" s="44"/>
      <c r="ED221" s="44"/>
      <c r="EE221" s="44"/>
      <c r="EF221" s="44"/>
      <c r="EG221" s="44"/>
      <c r="EH221" s="44"/>
      <c r="EI221" s="44"/>
      <c r="EJ221" s="44"/>
      <c r="EK221" s="44"/>
      <c r="EL221" s="44"/>
      <c r="EM221" s="44"/>
      <c r="EN221" s="44"/>
      <c r="EO221" s="44"/>
      <c r="EP221" s="44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2"/>
      <c r="BN222" s="2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4"/>
      <c r="DQ222" s="44"/>
      <c r="DR222" s="44"/>
      <c r="DS222" s="44"/>
      <c r="DT222" s="44"/>
      <c r="DU222" s="44"/>
      <c r="DV222" s="44"/>
      <c r="DW222" s="44"/>
      <c r="DX222" s="44"/>
      <c r="DY222" s="44"/>
      <c r="DZ222" s="44"/>
      <c r="EA222" s="44"/>
      <c r="EB222" s="44"/>
      <c r="EC222" s="44"/>
      <c r="ED222" s="44"/>
      <c r="EE222" s="44"/>
      <c r="EF222" s="44"/>
      <c r="EG222" s="44"/>
      <c r="EH222" s="44"/>
      <c r="EI222" s="44"/>
      <c r="EJ222" s="44"/>
      <c r="EK222" s="44"/>
      <c r="EL222" s="44"/>
      <c r="EM222" s="44"/>
      <c r="EN222" s="44"/>
      <c r="EO222" s="44"/>
      <c r="EP222" s="44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2"/>
      <c r="BN223" s="2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4"/>
      <c r="DQ223" s="44"/>
      <c r="DR223" s="44"/>
      <c r="DS223" s="44"/>
      <c r="DT223" s="44"/>
      <c r="DU223" s="44"/>
      <c r="DV223" s="44"/>
      <c r="DW223" s="44"/>
      <c r="DX223" s="44"/>
      <c r="DY223" s="44"/>
      <c r="DZ223" s="44"/>
      <c r="EA223" s="44"/>
      <c r="EB223" s="44"/>
      <c r="EC223" s="44"/>
      <c r="ED223" s="44"/>
      <c r="EE223" s="44"/>
      <c r="EF223" s="44"/>
      <c r="EG223" s="44"/>
      <c r="EH223" s="44"/>
      <c r="EI223" s="44"/>
      <c r="EJ223" s="44"/>
      <c r="EK223" s="44"/>
      <c r="EL223" s="44"/>
      <c r="EM223" s="44"/>
      <c r="EN223" s="44"/>
      <c r="EO223" s="44"/>
      <c r="EP223" s="44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2"/>
      <c r="BN224" s="2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4"/>
      <c r="DQ224" s="44"/>
      <c r="DR224" s="44"/>
      <c r="DS224" s="44"/>
      <c r="DT224" s="44"/>
      <c r="DU224" s="44"/>
      <c r="DV224" s="44"/>
      <c r="DW224" s="44"/>
      <c r="DX224" s="44"/>
      <c r="DY224" s="44"/>
      <c r="DZ224" s="44"/>
      <c r="EA224" s="44"/>
      <c r="EB224" s="44"/>
      <c r="EC224" s="44"/>
      <c r="ED224" s="44"/>
      <c r="EE224" s="44"/>
      <c r="EF224" s="44"/>
      <c r="EG224" s="44"/>
      <c r="EH224" s="44"/>
      <c r="EI224" s="44"/>
      <c r="EJ224" s="44"/>
      <c r="EK224" s="44"/>
      <c r="EL224" s="44"/>
      <c r="EM224" s="44"/>
      <c r="EN224" s="44"/>
      <c r="EO224" s="44"/>
      <c r="EP224" s="44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2"/>
      <c r="BN225" s="2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4"/>
      <c r="DQ225" s="44"/>
      <c r="DR225" s="44"/>
      <c r="DS225" s="44"/>
      <c r="DT225" s="44"/>
      <c r="DU225" s="44"/>
      <c r="DV225" s="44"/>
      <c r="DW225" s="44"/>
      <c r="DX225" s="44"/>
      <c r="DY225" s="44"/>
      <c r="DZ225" s="44"/>
      <c r="EA225" s="44"/>
      <c r="EB225" s="44"/>
      <c r="EC225" s="44"/>
      <c r="ED225" s="44"/>
      <c r="EE225" s="44"/>
      <c r="EF225" s="44"/>
      <c r="EG225" s="44"/>
      <c r="EH225" s="44"/>
      <c r="EI225" s="44"/>
      <c r="EJ225" s="44"/>
      <c r="EK225" s="44"/>
      <c r="EL225" s="44"/>
      <c r="EM225" s="44"/>
      <c r="EN225" s="44"/>
      <c r="EO225" s="44"/>
      <c r="EP225" s="44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2"/>
      <c r="BN226" s="2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4"/>
      <c r="DQ226" s="44"/>
      <c r="DR226" s="44"/>
      <c r="DS226" s="44"/>
      <c r="DT226" s="44"/>
      <c r="DU226" s="44"/>
      <c r="DV226" s="44"/>
      <c r="DW226" s="44"/>
      <c r="DX226" s="44"/>
      <c r="DY226" s="44"/>
      <c r="DZ226" s="44"/>
      <c r="EA226" s="44"/>
      <c r="EB226" s="44"/>
      <c r="EC226" s="44"/>
      <c r="ED226" s="44"/>
      <c r="EE226" s="44"/>
      <c r="EF226" s="44"/>
      <c r="EG226" s="44"/>
      <c r="EH226" s="44"/>
      <c r="EI226" s="44"/>
      <c r="EJ226" s="44"/>
      <c r="EK226" s="44"/>
      <c r="EL226" s="44"/>
      <c r="EM226" s="44"/>
      <c r="EN226" s="44"/>
      <c r="EO226" s="44"/>
      <c r="EP226" s="44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2"/>
      <c r="BN227" s="2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4"/>
      <c r="DQ227" s="44"/>
      <c r="DR227" s="44"/>
      <c r="DS227" s="44"/>
      <c r="DT227" s="44"/>
      <c r="DU227" s="44"/>
      <c r="DV227" s="44"/>
      <c r="DW227" s="44"/>
      <c r="DX227" s="44"/>
      <c r="DY227" s="44"/>
      <c r="DZ227" s="44"/>
      <c r="EA227" s="44"/>
      <c r="EB227" s="44"/>
      <c r="EC227" s="44"/>
      <c r="ED227" s="44"/>
      <c r="EE227" s="44"/>
      <c r="EF227" s="44"/>
      <c r="EG227" s="44"/>
      <c r="EH227" s="44"/>
      <c r="EI227" s="44"/>
      <c r="EJ227" s="44"/>
      <c r="EK227" s="44"/>
      <c r="EL227" s="44"/>
      <c r="EM227" s="44"/>
      <c r="EN227" s="44"/>
      <c r="EO227" s="44"/>
      <c r="EP227" s="44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2"/>
      <c r="BN228" s="2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4"/>
      <c r="DQ228" s="44"/>
      <c r="DR228" s="44"/>
      <c r="DS228" s="44"/>
      <c r="DT228" s="44"/>
      <c r="DU228" s="44"/>
      <c r="DV228" s="44"/>
      <c r="DW228" s="44"/>
      <c r="DX228" s="44"/>
      <c r="DY228" s="44"/>
      <c r="DZ228" s="44"/>
      <c r="EA228" s="44"/>
      <c r="EB228" s="44"/>
      <c r="EC228" s="44"/>
      <c r="ED228" s="44"/>
      <c r="EE228" s="44"/>
      <c r="EF228" s="44"/>
      <c r="EG228" s="44"/>
      <c r="EH228" s="44"/>
      <c r="EI228" s="44"/>
      <c r="EJ228" s="44"/>
      <c r="EK228" s="44"/>
      <c r="EL228" s="44"/>
      <c r="EM228" s="44"/>
      <c r="EN228" s="44"/>
      <c r="EO228" s="44"/>
      <c r="EP228" s="44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2"/>
      <c r="BN229" s="2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4"/>
      <c r="DQ229" s="44"/>
      <c r="DR229" s="44"/>
      <c r="DS229" s="44"/>
      <c r="DT229" s="44"/>
      <c r="DU229" s="44"/>
      <c r="DV229" s="44"/>
      <c r="DW229" s="44"/>
      <c r="DX229" s="44"/>
      <c r="DY229" s="44"/>
      <c r="DZ229" s="44"/>
      <c r="EA229" s="44"/>
      <c r="EB229" s="44"/>
      <c r="EC229" s="44"/>
      <c r="ED229" s="44"/>
      <c r="EE229" s="44"/>
      <c r="EF229" s="44"/>
      <c r="EG229" s="44"/>
      <c r="EH229" s="44"/>
      <c r="EI229" s="44"/>
      <c r="EJ229" s="44"/>
      <c r="EK229" s="44"/>
      <c r="EL229" s="44"/>
      <c r="EM229" s="44"/>
      <c r="EN229" s="44"/>
      <c r="EO229" s="44"/>
      <c r="EP229" s="44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2"/>
      <c r="BN230" s="2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4"/>
      <c r="DQ230" s="44"/>
      <c r="DR230" s="44"/>
      <c r="DS230" s="44"/>
      <c r="DT230" s="44"/>
      <c r="DU230" s="44"/>
      <c r="DV230" s="44"/>
      <c r="DW230" s="44"/>
      <c r="DX230" s="44"/>
      <c r="DY230" s="44"/>
      <c r="DZ230" s="44"/>
      <c r="EA230" s="44"/>
      <c r="EB230" s="44"/>
      <c r="EC230" s="44"/>
      <c r="ED230" s="44"/>
      <c r="EE230" s="44"/>
      <c r="EF230" s="44"/>
      <c r="EG230" s="44"/>
      <c r="EH230" s="44"/>
      <c r="EI230" s="44"/>
      <c r="EJ230" s="44"/>
      <c r="EK230" s="44"/>
      <c r="EL230" s="44"/>
      <c r="EM230" s="44"/>
      <c r="EN230" s="44"/>
      <c r="EO230" s="44"/>
      <c r="EP230" s="44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2"/>
      <c r="BN231" s="2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4"/>
      <c r="DQ231" s="44"/>
      <c r="DR231" s="44"/>
      <c r="DS231" s="44"/>
      <c r="DT231" s="44"/>
      <c r="DU231" s="44"/>
      <c r="DV231" s="44"/>
      <c r="DW231" s="44"/>
      <c r="DX231" s="44"/>
      <c r="DY231" s="44"/>
      <c r="DZ231" s="44"/>
      <c r="EA231" s="44"/>
      <c r="EB231" s="44"/>
      <c r="EC231" s="44"/>
      <c r="ED231" s="44"/>
      <c r="EE231" s="44"/>
      <c r="EF231" s="44"/>
      <c r="EG231" s="44"/>
      <c r="EH231" s="44"/>
      <c r="EI231" s="44"/>
      <c r="EJ231" s="44"/>
      <c r="EK231" s="44"/>
      <c r="EL231" s="44"/>
      <c r="EM231" s="44"/>
      <c r="EN231" s="44"/>
      <c r="EO231" s="44"/>
      <c r="EP231" s="44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2"/>
      <c r="BN232" s="2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4"/>
      <c r="DQ232" s="44"/>
      <c r="DR232" s="44"/>
      <c r="DS232" s="44"/>
      <c r="DT232" s="44"/>
      <c r="DU232" s="44"/>
      <c r="DV232" s="44"/>
      <c r="DW232" s="44"/>
      <c r="DX232" s="44"/>
      <c r="DY232" s="44"/>
      <c r="DZ232" s="44"/>
      <c r="EA232" s="44"/>
      <c r="EB232" s="44"/>
      <c r="EC232" s="44"/>
      <c r="ED232" s="44"/>
      <c r="EE232" s="44"/>
      <c r="EF232" s="44"/>
      <c r="EG232" s="44"/>
      <c r="EH232" s="44"/>
      <c r="EI232" s="44"/>
      <c r="EJ232" s="44"/>
      <c r="EK232" s="44"/>
      <c r="EL232" s="44"/>
      <c r="EM232" s="44"/>
      <c r="EN232" s="44"/>
      <c r="EO232" s="44"/>
      <c r="EP232" s="44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2"/>
      <c r="BN233" s="2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4"/>
      <c r="DQ233" s="44"/>
      <c r="DR233" s="44"/>
      <c r="DS233" s="44"/>
      <c r="DT233" s="44"/>
      <c r="DU233" s="44"/>
      <c r="DV233" s="44"/>
      <c r="DW233" s="44"/>
      <c r="DX233" s="44"/>
      <c r="DY233" s="44"/>
      <c r="DZ233" s="44"/>
      <c r="EA233" s="44"/>
      <c r="EB233" s="44"/>
      <c r="EC233" s="44"/>
      <c r="ED233" s="44"/>
      <c r="EE233" s="44"/>
      <c r="EF233" s="44"/>
      <c r="EG233" s="44"/>
      <c r="EH233" s="44"/>
      <c r="EI233" s="44"/>
      <c r="EJ233" s="44"/>
      <c r="EK233" s="44"/>
      <c r="EL233" s="44"/>
      <c r="EM233" s="44"/>
      <c r="EN233" s="44"/>
      <c r="EO233" s="44"/>
      <c r="EP233" s="44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2"/>
      <c r="BN234" s="2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4"/>
      <c r="DQ234" s="44"/>
      <c r="DR234" s="44"/>
      <c r="DS234" s="44"/>
      <c r="DT234" s="44"/>
      <c r="DU234" s="44"/>
      <c r="DV234" s="44"/>
      <c r="DW234" s="44"/>
      <c r="DX234" s="44"/>
      <c r="DY234" s="44"/>
      <c r="DZ234" s="44"/>
      <c r="EA234" s="44"/>
      <c r="EB234" s="44"/>
      <c r="EC234" s="44"/>
      <c r="ED234" s="44"/>
      <c r="EE234" s="44"/>
      <c r="EF234" s="44"/>
      <c r="EG234" s="44"/>
      <c r="EH234" s="44"/>
      <c r="EI234" s="44"/>
      <c r="EJ234" s="44"/>
      <c r="EK234" s="44"/>
      <c r="EL234" s="44"/>
      <c r="EM234" s="44"/>
      <c r="EN234" s="44"/>
      <c r="EO234" s="44"/>
      <c r="EP234" s="44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2"/>
      <c r="BN235" s="2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4"/>
      <c r="DQ235" s="44"/>
      <c r="DR235" s="44"/>
      <c r="DS235" s="44"/>
      <c r="DT235" s="44"/>
      <c r="DU235" s="44"/>
      <c r="DV235" s="44"/>
      <c r="DW235" s="44"/>
      <c r="DX235" s="44"/>
      <c r="DY235" s="44"/>
      <c r="DZ235" s="44"/>
      <c r="EA235" s="44"/>
      <c r="EB235" s="44"/>
      <c r="EC235" s="44"/>
      <c r="ED235" s="44"/>
      <c r="EE235" s="44"/>
      <c r="EF235" s="44"/>
      <c r="EG235" s="44"/>
      <c r="EH235" s="44"/>
      <c r="EI235" s="44"/>
      <c r="EJ235" s="44"/>
      <c r="EK235" s="44"/>
      <c r="EL235" s="44"/>
      <c r="EM235" s="44"/>
      <c r="EN235" s="44"/>
      <c r="EO235" s="44"/>
      <c r="EP235" s="44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2"/>
      <c r="BN236" s="2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4"/>
      <c r="DQ236" s="44"/>
      <c r="DR236" s="44"/>
      <c r="DS236" s="44"/>
      <c r="DT236" s="44"/>
      <c r="DU236" s="44"/>
      <c r="DV236" s="44"/>
      <c r="DW236" s="44"/>
      <c r="DX236" s="44"/>
      <c r="DY236" s="44"/>
      <c r="DZ236" s="44"/>
      <c r="EA236" s="44"/>
      <c r="EB236" s="44"/>
      <c r="EC236" s="44"/>
      <c r="ED236" s="44"/>
      <c r="EE236" s="44"/>
      <c r="EF236" s="44"/>
      <c r="EG236" s="44"/>
      <c r="EH236" s="44"/>
      <c r="EI236" s="44"/>
      <c r="EJ236" s="44"/>
      <c r="EK236" s="44"/>
      <c r="EL236" s="44"/>
      <c r="EM236" s="44"/>
      <c r="EN236" s="44"/>
      <c r="EO236" s="44"/>
      <c r="EP236" s="44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2"/>
      <c r="BN237" s="2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4"/>
      <c r="DQ237" s="44"/>
      <c r="DR237" s="44"/>
      <c r="DS237" s="44"/>
      <c r="DT237" s="44"/>
      <c r="DU237" s="44"/>
      <c r="DV237" s="44"/>
      <c r="DW237" s="44"/>
      <c r="DX237" s="44"/>
      <c r="DY237" s="44"/>
      <c r="DZ237" s="44"/>
      <c r="EA237" s="44"/>
      <c r="EB237" s="44"/>
      <c r="EC237" s="44"/>
      <c r="ED237" s="44"/>
      <c r="EE237" s="44"/>
      <c r="EF237" s="44"/>
      <c r="EG237" s="44"/>
      <c r="EH237" s="44"/>
      <c r="EI237" s="44"/>
      <c r="EJ237" s="44"/>
      <c r="EK237" s="44"/>
      <c r="EL237" s="44"/>
      <c r="EM237" s="44"/>
      <c r="EN237" s="44"/>
      <c r="EO237" s="44"/>
      <c r="EP237" s="44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2"/>
      <c r="BN238" s="2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4"/>
      <c r="DQ238" s="44"/>
      <c r="DR238" s="44"/>
      <c r="DS238" s="44"/>
      <c r="DT238" s="44"/>
      <c r="DU238" s="44"/>
      <c r="DV238" s="44"/>
      <c r="DW238" s="44"/>
      <c r="DX238" s="44"/>
      <c r="DY238" s="44"/>
      <c r="DZ238" s="44"/>
      <c r="EA238" s="44"/>
      <c r="EB238" s="44"/>
      <c r="EC238" s="44"/>
      <c r="ED238" s="44"/>
      <c r="EE238" s="44"/>
      <c r="EF238" s="44"/>
      <c r="EG238" s="44"/>
      <c r="EH238" s="44"/>
      <c r="EI238" s="44"/>
      <c r="EJ238" s="44"/>
      <c r="EK238" s="44"/>
      <c r="EL238" s="44"/>
      <c r="EM238" s="44"/>
      <c r="EN238" s="44"/>
      <c r="EO238" s="44"/>
      <c r="EP238" s="44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2"/>
      <c r="BN239" s="2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4"/>
      <c r="DQ239" s="44"/>
      <c r="DR239" s="44"/>
      <c r="DS239" s="44"/>
      <c r="DT239" s="44"/>
      <c r="DU239" s="44"/>
      <c r="DV239" s="44"/>
      <c r="DW239" s="44"/>
      <c r="DX239" s="44"/>
      <c r="DY239" s="44"/>
      <c r="DZ239" s="44"/>
      <c r="EA239" s="44"/>
      <c r="EB239" s="44"/>
      <c r="EC239" s="44"/>
      <c r="ED239" s="44"/>
      <c r="EE239" s="44"/>
      <c r="EF239" s="44"/>
      <c r="EG239" s="44"/>
      <c r="EH239" s="44"/>
      <c r="EI239" s="44"/>
      <c r="EJ239" s="44"/>
      <c r="EK239" s="44"/>
      <c r="EL239" s="44"/>
      <c r="EM239" s="44"/>
      <c r="EN239" s="44"/>
      <c r="EO239" s="44"/>
      <c r="EP239" s="44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2"/>
      <c r="BN240" s="2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4"/>
      <c r="DQ240" s="44"/>
      <c r="DR240" s="44"/>
      <c r="DS240" s="44"/>
      <c r="DT240" s="44"/>
      <c r="DU240" s="44"/>
      <c r="DV240" s="44"/>
      <c r="DW240" s="44"/>
      <c r="DX240" s="44"/>
      <c r="DY240" s="44"/>
      <c r="DZ240" s="44"/>
      <c r="EA240" s="44"/>
      <c r="EB240" s="44"/>
      <c r="EC240" s="44"/>
      <c r="ED240" s="44"/>
      <c r="EE240" s="44"/>
      <c r="EF240" s="44"/>
      <c r="EG240" s="44"/>
      <c r="EH240" s="44"/>
      <c r="EI240" s="44"/>
      <c r="EJ240" s="44"/>
      <c r="EK240" s="44"/>
      <c r="EL240" s="44"/>
      <c r="EM240" s="44"/>
      <c r="EN240" s="44"/>
      <c r="EO240" s="44"/>
      <c r="EP240" s="44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2"/>
      <c r="BN241" s="2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4"/>
      <c r="DQ241" s="44"/>
      <c r="DR241" s="44"/>
      <c r="DS241" s="44"/>
      <c r="DT241" s="44"/>
      <c r="DU241" s="44"/>
      <c r="DV241" s="44"/>
      <c r="DW241" s="44"/>
      <c r="DX241" s="44"/>
      <c r="DY241" s="44"/>
      <c r="DZ241" s="44"/>
      <c r="EA241" s="44"/>
      <c r="EB241" s="44"/>
      <c r="EC241" s="44"/>
      <c r="ED241" s="44"/>
      <c r="EE241" s="44"/>
      <c r="EF241" s="44"/>
      <c r="EG241" s="44"/>
      <c r="EH241" s="44"/>
      <c r="EI241" s="44"/>
      <c r="EJ241" s="44"/>
      <c r="EK241" s="44"/>
      <c r="EL241" s="44"/>
      <c r="EM241" s="44"/>
      <c r="EN241" s="44"/>
      <c r="EO241" s="44"/>
      <c r="EP241" s="44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2"/>
      <c r="BN242" s="2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4"/>
      <c r="DQ242" s="44"/>
      <c r="DR242" s="44"/>
      <c r="DS242" s="44"/>
      <c r="DT242" s="44"/>
      <c r="DU242" s="44"/>
      <c r="DV242" s="44"/>
      <c r="DW242" s="44"/>
      <c r="DX242" s="44"/>
      <c r="DY242" s="44"/>
      <c r="DZ242" s="44"/>
      <c r="EA242" s="44"/>
      <c r="EB242" s="44"/>
      <c r="EC242" s="44"/>
      <c r="ED242" s="44"/>
      <c r="EE242" s="44"/>
      <c r="EF242" s="44"/>
      <c r="EG242" s="44"/>
      <c r="EH242" s="44"/>
      <c r="EI242" s="44"/>
      <c r="EJ242" s="44"/>
      <c r="EK242" s="44"/>
      <c r="EL242" s="44"/>
      <c r="EM242" s="44"/>
      <c r="EN242" s="44"/>
      <c r="EO242" s="44"/>
      <c r="EP242" s="44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2"/>
      <c r="BN243" s="2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4"/>
      <c r="DQ243" s="44"/>
      <c r="DR243" s="44"/>
      <c r="DS243" s="44"/>
      <c r="DT243" s="44"/>
      <c r="DU243" s="44"/>
      <c r="DV243" s="44"/>
      <c r="DW243" s="44"/>
      <c r="DX243" s="44"/>
      <c r="DY243" s="44"/>
      <c r="DZ243" s="44"/>
      <c r="EA243" s="44"/>
      <c r="EB243" s="44"/>
      <c r="EC243" s="44"/>
      <c r="ED243" s="44"/>
      <c r="EE243" s="44"/>
      <c r="EF243" s="44"/>
      <c r="EG243" s="44"/>
      <c r="EH243" s="44"/>
      <c r="EI243" s="44"/>
      <c r="EJ243" s="44"/>
      <c r="EK243" s="44"/>
      <c r="EL243" s="44"/>
      <c r="EM243" s="44"/>
      <c r="EN243" s="44"/>
      <c r="EO243" s="44"/>
      <c r="EP243" s="44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2"/>
      <c r="BN244" s="2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4"/>
      <c r="DQ244" s="44"/>
      <c r="DR244" s="44"/>
      <c r="DS244" s="44"/>
      <c r="DT244" s="44"/>
      <c r="DU244" s="44"/>
      <c r="DV244" s="44"/>
      <c r="DW244" s="44"/>
      <c r="DX244" s="44"/>
      <c r="DY244" s="44"/>
      <c r="DZ244" s="44"/>
      <c r="EA244" s="44"/>
      <c r="EB244" s="44"/>
      <c r="EC244" s="44"/>
      <c r="ED244" s="44"/>
      <c r="EE244" s="44"/>
      <c r="EF244" s="44"/>
      <c r="EG244" s="44"/>
      <c r="EH244" s="44"/>
      <c r="EI244" s="44"/>
      <c r="EJ244" s="44"/>
      <c r="EK244" s="44"/>
      <c r="EL244" s="44"/>
      <c r="EM244" s="44"/>
      <c r="EN244" s="44"/>
      <c r="EO244" s="44"/>
      <c r="EP244" s="44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2"/>
      <c r="BN245" s="2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4"/>
      <c r="DQ245" s="44"/>
      <c r="DR245" s="44"/>
      <c r="DS245" s="44"/>
      <c r="DT245" s="44"/>
      <c r="DU245" s="44"/>
      <c r="DV245" s="44"/>
      <c r="DW245" s="44"/>
      <c r="DX245" s="44"/>
      <c r="DY245" s="44"/>
      <c r="DZ245" s="44"/>
      <c r="EA245" s="44"/>
      <c r="EB245" s="44"/>
      <c r="EC245" s="44"/>
      <c r="ED245" s="44"/>
      <c r="EE245" s="44"/>
      <c r="EF245" s="44"/>
      <c r="EG245" s="44"/>
      <c r="EH245" s="44"/>
      <c r="EI245" s="44"/>
      <c r="EJ245" s="44"/>
      <c r="EK245" s="44"/>
      <c r="EL245" s="44"/>
      <c r="EM245" s="44"/>
      <c r="EN245" s="44"/>
      <c r="EO245" s="44"/>
      <c r="EP245" s="44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2"/>
      <c r="BN246" s="2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4"/>
      <c r="DQ246" s="44"/>
      <c r="DR246" s="44"/>
      <c r="DS246" s="44"/>
      <c r="DT246" s="44"/>
      <c r="DU246" s="44"/>
      <c r="DV246" s="44"/>
      <c r="DW246" s="44"/>
      <c r="DX246" s="44"/>
      <c r="DY246" s="44"/>
      <c r="DZ246" s="44"/>
      <c r="EA246" s="44"/>
      <c r="EB246" s="44"/>
      <c r="EC246" s="44"/>
      <c r="ED246" s="44"/>
      <c r="EE246" s="44"/>
      <c r="EF246" s="44"/>
      <c r="EG246" s="44"/>
      <c r="EH246" s="44"/>
      <c r="EI246" s="44"/>
      <c r="EJ246" s="44"/>
      <c r="EK246" s="44"/>
      <c r="EL246" s="44"/>
      <c r="EM246" s="44"/>
      <c r="EN246" s="44"/>
      <c r="EO246" s="44"/>
      <c r="EP246" s="44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2"/>
      <c r="BN247" s="2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4"/>
      <c r="DQ247" s="44"/>
      <c r="DR247" s="44"/>
      <c r="DS247" s="44"/>
      <c r="DT247" s="44"/>
      <c r="DU247" s="44"/>
      <c r="DV247" s="44"/>
      <c r="DW247" s="44"/>
      <c r="DX247" s="44"/>
      <c r="DY247" s="44"/>
      <c r="DZ247" s="44"/>
      <c r="EA247" s="44"/>
      <c r="EB247" s="44"/>
      <c r="EC247" s="44"/>
      <c r="ED247" s="44"/>
      <c r="EE247" s="44"/>
      <c r="EF247" s="44"/>
      <c r="EG247" s="44"/>
      <c r="EH247" s="44"/>
      <c r="EI247" s="44"/>
      <c r="EJ247" s="44"/>
      <c r="EK247" s="44"/>
      <c r="EL247" s="44"/>
      <c r="EM247" s="44"/>
      <c r="EN247" s="44"/>
      <c r="EO247" s="44"/>
      <c r="EP247" s="44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2"/>
      <c r="BN248" s="2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4"/>
      <c r="DQ248" s="44"/>
      <c r="DR248" s="44"/>
      <c r="DS248" s="44"/>
      <c r="DT248" s="44"/>
      <c r="DU248" s="44"/>
      <c r="DV248" s="44"/>
      <c r="DW248" s="44"/>
      <c r="DX248" s="44"/>
      <c r="DY248" s="44"/>
      <c r="DZ248" s="44"/>
      <c r="EA248" s="44"/>
      <c r="EB248" s="44"/>
      <c r="EC248" s="44"/>
      <c r="ED248" s="44"/>
      <c r="EE248" s="44"/>
      <c r="EF248" s="44"/>
      <c r="EG248" s="44"/>
      <c r="EH248" s="44"/>
      <c r="EI248" s="44"/>
      <c r="EJ248" s="44"/>
      <c r="EK248" s="44"/>
      <c r="EL248" s="44"/>
      <c r="EM248" s="44"/>
      <c r="EN248" s="44"/>
      <c r="EO248" s="44"/>
      <c r="EP248" s="44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2"/>
      <c r="BN249" s="2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4"/>
      <c r="DQ249" s="44"/>
      <c r="DR249" s="44"/>
      <c r="DS249" s="44"/>
      <c r="DT249" s="44"/>
      <c r="DU249" s="44"/>
      <c r="DV249" s="44"/>
      <c r="DW249" s="44"/>
      <c r="DX249" s="44"/>
      <c r="DY249" s="44"/>
      <c r="DZ249" s="44"/>
      <c r="EA249" s="44"/>
      <c r="EB249" s="44"/>
      <c r="EC249" s="44"/>
      <c r="ED249" s="44"/>
      <c r="EE249" s="44"/>
      <c r="EF249" s="44"/>
      <c r="EG249" s="44"/>
      <c r="EH249" s="44"/>
      <c r="EI249" s="44"/>
      <c r="EJ249" s="44"/>
      <c r="EK249" s="44"/>
      <c r="EL249" s="44"/>
      <c r="EM249" s="44"/>
      <c r="EN249" s="44"/>
      <c r="EO249" s="44"/>
      <c r="EP249" s="44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2"/>
      <c r="BN250" s="2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4"/>
      <c r="DQ250" s="44"/>
      <c r="DR250" s="44"/>
      <c r="DS250" s="44"/>
      <c r="DT250" s="44"/>
      <c r="DU250" s="44"/>
      <c r="DV250" s="44"/>
      <c r="DW250" s="44"/>
      <c r="DX250" s="44"/>
      <c r="DY250" s="44"/>
      <c r="DZ250" s="44"/>
      <c r="EA250" s="44"/>
      <c r="EB250" s="44"/>
      <c r="EC250" s="44"/>
      <c r="ED250" s="44"/>
      <c r="EE250" s="44"/>
      <c r="EF250" s="44"/>
      <c r="EG250" s="44"/>
      <c r="EH250" s="44"/>
      <c r="EI250" s="44"/>
      <c r="EJ250" s="44"/>
      <c r="EK250" s="44"/>
      <c r="EL250" s="44"/>
      <c r="EM250" s="44"/>
      <c r="EN250" s="44"/>
      <c r="EO250" s="44"/>
      <c r="EP250" s="44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2"/>
      <c r="BN251" s="2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4"/>
      <c r="DQ251" s="44"/>
      <c r="DR251" s="44"/>
      <c r="DS251" s="44"/>
      <c r="DT251" s="44"/>
      <c r="DU251" s="44"/>
      <c r="DV251" s="44"/>
      <c r="DW251" s="44"/>
      <c r="DX251" s="44"/>
      <c r="DY251" s="44"/>
      <c r="DZ251" s="44"/>
      <c r="EA251" s="44"/>
      <c r="EB251" s="44"/>
      <c r="EC251" s="44"/>
      <c r="ED251" s="44"/>
      <c r="EE251" s="44"/>
      <c r="EF251" s="44"/>
      <c r="EG251" s="44"/>
      <c r="EH251" s="44"/>
      <c r="EI251" s="44"/>
      <c r="EJ251" s="44"/>
      <c r="EK251" s="44"/>
      <c r="EL251" s="44"/>
      <c r="EM251" s="44"/>
      <c r="EN251" s="44"/>
      <c r="EO251" s="44"/>
      <c r="EP251" s="44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2"/>
      <c r="BN252" s="2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4"/>
      <c r="DQ252" s="44"/>
      <c r="DR252" s="44"/>
      <c r="DS252" s="44"/>
      <c r="DT252" s="44"/>
      <c r="DU252" s="44"/>
      <c r="DV252" s="44"/>
      <c r="DW252" s="44"/>
      <c r="DX252" s="44"/>
      <c r="DY252" s="44"/>
      <c r="DZ252" s="44"/>
      <c r="EA252" s="44"/>
      <c r="EB252" s="44"/>
      <c r="EC252" s="44"/>
      <c r="ED252" s="44"/>
      <c r="EE252" s="44"/>
      <c r="EF252" s="44"/>
      <c r="EG252" s="44"/>
      <c r="EH252" s="44"/>
      <c r="EI252" s="44"/>
      <c r="EJ252" s="44"/>
      <c r="EK252" s="44"/>
      <c r="EL252" s="44"/>
      <c r="EM252" s="44"/>
      <c r="EN252" s="44"/>
      <c r="EO252" s="44"/>
      <c r="EP252" s="44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2"/>
      <c r="BN253" s="2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4"/>
      <c r="DQ253" s="44"/>
      <c r="DR253" s="44"/>
      <c r="DS253" s="44"/>
      <c r="DT253" s="44"/>
      <c r="DU253" s="44"/>
      <c r="DV253" s="44"/>
      <c r="DW253" s="44"/>
      <c r="DX253" s="44"/>
      <c r="DY253" s="44"/>
      <c r="DZ253" s="44"/>
      <c r="EA253" s="44"/>
      <c r="EB253" s="44"/>
      <c r="EC253" s="44"/>
      <c r="ED253" s="44"/>
      <c r="EE253" s="44"/>
      <c r="EF253" s="44"/>
      <c r="EG253" s="44"/>
      <c r="EH253" s="44"/>
      <c r="EI253" s="44"/>
      <c r="EJ253" s="44"/>
      <c r="EK253" s="44"/>
      <c r="EL253" s="44"/>
      <c r="EM253" s="44"/>
      <c r="EN253" s="44"/>
      <c r="EO253" s="44"/>
      <c r="EP253" s="44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2"/>
      <c r="BN254" s="2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4"/>
      <c r="DQ254" s="44"/>
      <c r="DR254" s="44"/>
      <c r="DS254" s="44"/>
      <c r="DT254" s="44"/>
      <c r="DU254" s="44"/>
      <c r="DV254" s="44"/>
      <c r="DW254" s="44"/>
      <c r="DX254" s="44"/>
      <c r="DY254" s="44"/>
      <c r="DZ254" s="44"/>
      <c r="EA254" s="44"/>
      <c r="EB254" s="44"/>
      <c r="EC254" s="44"/>
      <c r="ED254" s="44"/>
      <c r="EE254" s="44"/>
      <c r="EF254" s="44"/>
      <c r="EG254" s="44"/>
      <c r="EH254" s="44"/>
      <c r="EI254" s="44"/>
      <c r="EJ254" s="44"/>
      <c r="EK254" s="44"/>
      <c r="EL254" s="44"/>
      <c r="EM254" s="44"/>
      <c r="EN254" s="44"/>
      <c r="EO254" s="44"/>
      <c r="EP254" s="44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2"/>
      <c r="BN255" s="2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4"/>
      <c r="DQ255" s="44"/>
      <c r="DR255" s="44"/>
      <c r="DS255" s="44"/>
      <c r="DT255" s="44"/>
      <c r="DU255" s="44"/>
      <c r="DV255" s="44"/>
      <c r="DW255" s="44"/>
      <c r="DX255" s="44"/>
      <c r="DY255" s="44"/>
      <c r="DZ255" s="44"/>
      <c r="EA255" s="44"/>
      <c r="EB255" s="44"/>
      <c r="EC255" s="44"/>
      <c r="ED255" s="44"/>
      <c r="EE255" s="44"/>
      <c r="EF255" s="44"/>
      <c r="EG255" s="44"/>
      <c r="EH255" s="44"/>
      <c r="EI255" s="44"/>
      <c r="EJ255" s="44"/>
      <c r="EK255" s="44"/>
      <c r="EL255" s="44"/>
      <c r="EM255" s="44"/>
      <c r="EN255" s="44"/>
      <c r="EO255" s="44"/>
      <c r="EP255" s="44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2"/>
      <c r="BN256" s="2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4"/>
      <c r="DQ256" s="44"/>
      <c r="DR256" s="44"/>
      <c r="DS256" s="44"/>
      <c r="DT256" s="44"/>
      <c r="DU256" s="44"/>
      <c r="DV256" s="44"/>
      <c r="DW256" s="44"/>
      <c r="DX256" s="44"/>
      <c r="DY256" s="44"/>
      <c r="DZ256" s="44"/>
      <c r="EA256" s="44"/>
      <c r="EB256" s="44"/>
      <c r="EC256" s="44"/>
      <c r="ED256" s="44"/>
      <c r="EE256" s="44"/>
      <c r="EF256" s="44"/>
      <c r="EG256" s="44"/>
      <c r="EH256" s="44"/>
      <c r="EI256" s="44"/>
      <c r="EJ256" s="44"/>
      <c r="EK256" s="44"/>
      <c r="EL256" s="44"/>
      <c r="EM256" s="44"/>
      <c r="EN256" s="44"/>
      <c r="EO256" s="44"/>
      <c r="EP256" s="44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2"/>
      <c r="BN257" s="2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4"/>
      <c r="DQ257" s="44"/>
      <c r="DR257" s="44"/>
      <c r="DS257" s="44"/>
      <c r="DT257" s="44"/>
      <c r="DU257" s="44"/>
      <c r="DV257" s="44"/>
      <c r="DW257" s="44"/>
      <c r="DX257" s="44"/>
      <c r="DY257" s="44"/>
      <c r="DZ257" s="44"/>
      <c r="EA257" s="44"/>
      <c r="EB257" s="44"/>
      <c r="EC257" s="44"/>
      <c r="ED257" s="44"/>
      <c r="EE257" s="44"/>
      <c r="EF257" s="44"/>
      <c r="EG257" s="44"/>
      <c r="EH257" s="44"/>
      <c r="EI257" s="44"/>
      <c r="EJ257" s="44"/>
      <c r="EK257" s="44"/>
      <c r="EL257" s="44"/>
      <c r="EM257" s="44"/>
      <c r="EN257" s="44"/>
      <c r="EO257" s="44"/>
      <c r="EP257" s="44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2"/>
      <c r="BN258" s="2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4"/>
      <c r="DQ258" s="44"/>
      <c r="DR258" s="44"/>
      <c r="DS258" s="44"/>
      <c r="DT258" s="44"/>
      <c r="DU258" s="44"/>
      <c r="DV258" s="44"/>
      <c r="DW258" s="44"/>
      <c r="DX258" s="44"/>
      <c r="DY258" s="44"/>
      <c r="DZ258" s="44"/>
      <c r="EA258" s="44"/>
      <c r="EB258" s="44"/>
      <c r="EC258" s="44"/>
      <c r="ED258" s="44"/>
      <c r="EE258" s="44"/>
      <c r="EF258" s="44"/>
      <c r="EG258" s="44"/>
      <c r="EH258" s="44"/>
      <c r="EI258" s="44"/>
      <c r="EJ258" s="44"/>
      <c r="EK258" s="44"/>
      <c r="EL258" s="44"/>
      <c r="EM258" s="44"/>
      <c r="EN258" s="44"/>
      <c r="EO258" s="44"/>
      <c r="EP258" s="44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2"/>
      <c r="BN259" s="2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4"/>
      <c r="DQ259" s="44"/>
      <c r="DR259" s="44"/>
      <c r="DS259" s="44"/>
      <c r="DT259" s="44"/>
      <c r="DU259" s="44"/>
      <c r="DV259" s="44"/>
      <c r="DW259" s="44"/>
      <c r="DX259" s="44"/>
      <c r="DY259" s="44"/>
      <c r="DZ259" s="44"/>
      <c r="EA259" s="44"/>
      <c r="EB259" s="44"/>
      <c r="EC259" s="44"/>
      <c r="ED259" s="44"/>
      <c r="EE259" s="44"/>
      <c r="EF259" s="44"/>
      <c r="EG259" s="44"/>
      <c r="EH259" s="44"/>
      <c r="EI259" s="44"/>
      <c r="EJ259" s="44"/>
      <c r="EK259" s="44"/>
      <c r="EL259" s="44"/>
      <c r="EM259" s="44"/>
      <c r="EN259" s="44"/>
      <c r="EO259" s="44"/>
      <c r="EP259" s="44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2"/>
      <c r="BN260" s="2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4"/>
      <c r="DQ260" s="44"/>
      <c r="DR260" s="44"/>
      <c r="DS260" s="44"/>
      <c r="DT260" s="44"/>
      <c r="DU260" s="44"/>
      <c r="DV260" s="44"/>
      <c r="DW260" s="44"/>
      <c r="DX260" s="44"/>
      <c r="DY260" s="44"/>
      <c r="DZ260" s="44"/>
      <c r="EA260" s="44"/>
      <c r="EB260" s="44"/>
      <c r="EC260" s="44"/>
      <c r="ED260" s="44"/>
      <c r="EE260" s="44"/>
      <c r="EF260" s="44"/>
      <c r="EG260" s="44"/>
      <c r="EH260" s="44"/>
      <c r="EI260" s="44"/>
      <c r="EJ260" s="44"/>
      <c r="EK260" s="44"/>
      <c r="EL260" s="44"/>
      <c r="EM260" s="44"/>
      <c r="EN260" s="44"/>
      <c r="EO260" s="44"/>
      <c r="EP260" s="44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2"/>
      <c r="BN261" s="2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4"/>
      <c r="DQ261" s="44"/>
      <c r="DR261" s="44"/>
      <c r="DS261" s="44"/>
      <c r="DT261" s="44"/>
      <c r="DU261" s="44"/>
      <c r="DV261" s="44"/>
      <c r="DW261" s="44"/>
      <c r="DX261" s="44"/>
      <c r="DY261" s="44"/>
      <c r="DZ261" s="44"/>
      <c r="EA261" s="44"/>
      <c r="EB261" s="44"/>
      <c r="EC261" s="44"/>
      <c r="ED261" s="44"/>
      <c r="EE261" s="44"/>
      <c r="EF261" s="44"/>
      <c r="EG261" s="44"/>
      <c r="EH261" s="44"/>
      <c r="EI261" s="44"/>
      <c r="EJ261" s="44"/>
      <c r="EK261" s="44"/>
      <c r="EL261" s="44"/>
      <c r="EM261" s="44"/>
      <c r="EN261" s="44"/>
      <c r="EO261" s="44"/>
      <c r="EP261" s="44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2"/>
      <c r="BN262" s="2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4"/>
      <c r="DQ262" s="44"/>
      <c r="DR262" s="44"/>
      <c r="DS262" s="44"/>
      <c r="DT262" s="44"/>
      <c r="DU262" s="44"/>
      <c r="DV262" s="44"/>
      <c r="DW262" s="44"/>
      <c r="DX262" s="44"/>
      <c r="DY262" s="44"/>
      <c r="DZ262" s="44"/>
      <c r="EA262" s="44"/>
      <c r="EB262" s="44"/>
      <c r="EC262" s="44"/>
      <c r="ED262" s="44"/>
      <c r="EE262" s="44"/>
      <c r="EF262" s="44"/>
      <c r="EG262" s="44"/>
      <c r="EH262" s="44"/>
      <c r="EI262" s="44"/>
      <c r="EJ262" s="44"/>
      <c r="EK262" s="44"/>
      <c r="EL262" s="44"/>
      <c r="EM262" s="44"/>
      <c r="EN262" s="44"/>
      <c r="EO262" s="44"/>
      <c r="EP262" s="44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2"/>
      <c r="BN263" s="2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4"/>
      <c r="DQ263" s="44"/>
      <c r="DR263" s="44"/>
      <c r="DS263" s="44"/>
      <c r="DT263" s="44"/>
      <c r="DU263" s="44"/>
      <c r="DV263" s="44"/>
      <c r="DW263" s="44"/>
      <c r="DX263" s="44"/>
      <c r="DY263" s="44"/>
      <c r="DZ263" s="44"/>
      <c r="EA263" s="44"/>
      <c r="EB263" s="44"/>
      <c r="EC263" s="44"/>
      <c r="ED263" s="44"/>
      <c r="EE263" s="44"/>
      <c r="EF263" s="44"/>
      <c r="EG263" s="44"/>
      <c r="EH263" s="44"/>
      <c r="EI263" s="44"/>
      <c r="EJ263" s="44"/>
      <c r="EK263" s="44"/>
      <c r="EL263" s="44"/>
      <c r="EM263" s="44"/>
      <c r="EN263" s="44"/>
      <c r="EO263" s="44"/>
      <c r="EP263" s="44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2"/>
      <c r="BN264" s="2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4"/>
      <c r="DQ264" s="44"/>
      <c r="DR264" s="44"/>
      <c r="DS264" s="44"/>
      <c r="DT264" s="44"/>
      <c r="DU264" s="44"/>
      <c r="DV264" s="44"/>
      <c r="DW264" s="44"/>
      <c r="DX264" s="44"/>
      <c r="DY264" s="44"/>
      <c r="DZ264" s="44"/>
      <c r="EA264" s="44"/>
      <c r="EB264" s="44"/>
      <c r="EC264" s="44"/>
      <c r="ED264" s="44"/>
      <c r="EE264" s="44"/>
      <c r="EF264" s="44"/>
      <c r="EG264" s="44"/>
      <c r="EH264" s="44"/>
      <c r="EI264" s="44"/>
      <c r="EJ264" s="44"/>
      <c r="EK264" s="44"/>
      <c r="EL264" s="44"/>
      <c r="EM264" s="44"/>
      <c r="EN264" s="44"/>
      <c r="EO264" s="44"/>
      <c r="EP264" s="44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2"/>
      <c r="BN265" s="2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4"/>
      <c r="DQ265" s="44"/>
      <c r="DR265" s="44"/>
      <c r="DS265" s="44"/>
      <c r="DT265" s="44"/>
      <c r="DU265" s="44"/>
      <c r="DV265" s="44"/>
      <c r="DW265" s="44"/>
      <c r="DX265" s="44"/>
      <c r="DY265" s="44"/>
      <c r="DZ265" s="44"/>
      <c r="EA265" s="44"/>
      <c r="EB265" s="44"/>
      <c r="EC265" s="44"/>
      <c r="ED265" s="44"/>
      <c r="EE265" s="44"/>
      <c r="EF265" s="44"/>
      <c r="EG265" s="44"/>
      <c r="EH265" s="44"/>
      <c r="EI265" s="44"/>
      <c r="EJ265" s="44"/>
      <c r="EK265" s="44"/>
      <c r="EL265" s="44"/>
      <c r="EM265" s="44"/>
      <c r="EN265" s="44"/>
      <c r="EO265" s="44"/>
      <c r="EP265" s="44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2"/>
      <c r="BN266" s="2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4"/>
      <c r="DQ266" s="44"/>
      <c r="DR266" s="44"/>
      <c r="DS266" s="44"/>
      <c r="DT266" s="44"/>
      <c r="DU266" s="44"/>
      <c r="DV266" s="44"/>
      <c r="DW266" s="44"/>
      <c r="DX266" s="44"/>
      <c r="DY266" s="44"/>
      <c r="DZ266" s="44"/>
      <c r="EA266" s="44"/>
      <c r="EB266" s="44"/>
      <c r="EC266" s="44"/>
      <c r="ED266" s="44"/>
      <c r="EE266" s="44"/>
      <c r="EF266" s="44"/>
      <c r="EG266" s="44"/>
      <c r="EH266" s="44"/>
      <c r="EI266" s="44"/>
      <c r="EJ266" s="44"/>
      <c r="EK266" s="44"/>
      <c r="EL266" s="44"/>
      <c r="EM266" s="44"/>
      <c r="EN266" s="44"/>
      <c r="EO266" s="44"/>
      <c r="EP266" s="44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2"/>
      <c r="BN267" s="2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4"/>
      <c r="DQ267" s="44"/>
      <c r="DR267" s="44"/>
      <c r="DS267" s="44"/>
      <c r="DT267" s="44"/>
      <c r="DU267" s="44"/>
      <c r="DV267" s="44"/>
      <c r="DW267" s="44"/>
      <c r="DX267" s="44"/>
      <c r="DY267" s="44"/>
      <c r="DZ267" s="44"/>
      <c r="EA267" s="44"/>
      <c r="EB267" s="44"/>
      <c r="EC267" s="44"/>
      <c r="ED267" s="44"/>
      <c r="EE267" s="44"/>
      <c r="EF267" s="44"/>
      <c r="EG267" s="44"/>
      <c r="EH267" s="44"/>
      <c r="EI267" s="44"/>
      <c r="EJ267" s="44"/>
      <c r="EK267" s="44"/>
      <c r="EL267" s="44"/>
      <c r="EM267" s="44"/>
      <c r="EN267" s="44"/>
      <c r="EO267" s="44"/>
      <c r="EP267" s="44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2"/>
      <c r="BN268" s="2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4"/>
      <c r="DQ268" s="44"/>
      <c r="DR268" s="44"/>
      <c r="DS268" s="44"/>
      <c r="DT268" s="44"/>
      <c r="DU268" s="44"/>
      <c r="DV268" s="44"/>
      <c r="DW268" s="44"/>
      <c r="DX268" s="44"/>
      <c r="DY268" s="44"/>
      <c r="DZ268" s="44"/>
      <c r="EA268" s="44"/>
      <c r="EB268" s="44"/>
      <c r="EC268" s="44"/>
      <c r="ED268" s="44"/>
      <c r="EE268" s="44"/>
      <c r="EF268" s="44"/>
      <c r="EG268" s="44"/>
      <c r="EH268" s="44"/>
      <c r="EI268" s="44"/>
      <c r="EJ268" s="44"/>
      <c r="EK268" s="44"/>
      <c r="EL268" s="44"/>
      <c r="EM268" s="44"/>
      <c r="EN268" s="44"/>
      <c r="EO268" s="44"/>
      <c r="EP268" s="44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2"/>
      <c r="BN269" s="2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4"/>
      <c r="DQ269" s="44"/>
      <c r="DR269" s="44"/>
      <c r="DS269" s="44"/>
      <c r="DT269" s="44"/>
      <c r="DU269" s="44"/>
      <c r="DV269" s="44"/>
      <c r="DW269" s="44"/>
      <c r="DX269" s="44"/>
      <c r="DY269" s="44"/>
      <c r="DZ269" s="44"/>
      <c r="EA269" s="44"/>
      <c r="EB269" s="44"/>
      <c r="EC269" s="44"/>
      <c r="ED269" s="44"/>
      <c r="EE269" s="44"/>
      <c r="EF269" s="44"/>
      <c r="EG269" s="44"/>
      <c r="EH269" s="44"/>
      <c r="EI269" s="44"/>
      <c r="EJ269" s="44"/>
      <c r="EK269" s="44"/>
      <c r="EL269" s="44"/>
      <c r="EM269" s="44"/>
      <c r="EN269" s="44"/>
      <c r="EO269" s="44"/>
      <c r="EP269" s="44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2"/>
      <c r="BN270" s="2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4"/>
      <c r="DQ270" s="44"/>
      <c r="DR270" s="44"/>
      <c r="DS270" s="44"/>
      <c r="DT270" s="44"/>
      <c r="DU270" s="44"/>
      <c r="DV270" s="44"/>
      <c r="DW270" s="44"/>
      <c r="DX270" s="44"/>
      <c r="DY270" s="44"/>
      <c r="DZ270" s="44"/>
      <c r="EA270" s="44"/>
      <c r="EB270" s="44"/>
      <c r="EC270" s="44"/>
      <c r="ED270" s="44"/>
      <c r="EE270" s="44"/>
      <c r="EF270" s="44"/>
      <c r="EG270" s="44"/>
      <c r="EH270" s="44"/>
      <c r="EI270" s="44"/>
      <c r="EJ270" s="44"/>
      <c r="EK270" s="44"/>
      <c r="EL270" s="44"/>
      <c r="EM270" s="44"/>
      <c r="EN270" s="44"/>
      <c r="EO270" s="44"/>
      <c r="EP270" s="44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2"/>
      <c r="BN271" s="2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4"/>
      <c r="DQ271" s="44"/>
      <c r="DR271" s="44"/>
      <c r="DS271" s="44"/>
      <c r="DT271" s="44"/>
      <c r="DU271" s="44"/>
      <c r="DV271" s="44"/>
      <c r="DW271" s="44"/>
      <c r="DX271" s="44"/>
      <c r="DY271" s="44"/>
      <c r="DZ271" s="44"/>
      <c r="EA271" s="44"/>
      <c r="EB271" s="44"/>
      <c r="EC271" s="44"/>
      <c r="ED271" s="44"/>
      <c r="EE271" s="44"/>
      <c r="EF271" s="44"/>
      <c r="EG271" s="44"/>
      <c r="EH271" s="44"/>
      <c r="EI271" s="44"/>
      <c r="EJ271" s="44"/>
      <c r="EK271" s="44"/>
      <c r="EL271" s="44"/>
      <c r="EM271" s="44"/>
      <c r="EN271" s="44"/>
      <c r="EO271" s="44"/>
      <c r="EP271" s="44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2"/>
      <c r="BN272" s="2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4"/>
      <c r="DQ272" s="44"/>
      <c r="DR272" s="44"/>
      <c r="DS272" s="44"/>
      <c r="DT272" s="44"/>
      <c r="DU272" s="44"/>
      <c r="DV272" s="44"/>
      <c r="DW272" s="44"/>
      <c r="DX272" s="44"/>
      <c r="DY272" s="44"/>
      <c r="DZ272" s="44"/>
      <c r="EA272" s="44"/>
      <c r="EB272" s="44"/>
      <c r="EC272" s="44"/>
      <c r="ED272" s="44"/>
      <c r="EE272" s="44"/>
      <c r="EF272" s="44"/>
      <c r="EG272" s="44"/>
      <c r="EH272" s="44"/>
      <c r="EI272" s="44"/>
      <c r="EJ272" s="44"/>
      <c r="EK272" s="44"/>
      <c r="EL272" s="44"/>
      <c r="EM272" s="44"/>
      <c r="EN272" s="44"/>
      <c r="EO272" s="44"/>
      <c r="EP272" s="44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2"/>
      <c r="BN273" s="2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"/>
      <c r="BN274" s="4"/>
      <c r="BO274" s="44"/>
      <c r="BP274" s="44"/>
      <c r="BQ274" s="44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  <c r="CB274" s="44"/>
      <c r="CC274" s="44"/>
      <c r="CD274" s="44"/>
      <c r="CE274" s="44"/>
      <c r="CF274" s="44"/>
      <c r="CG274" s="44"/>
      <c r="CH274" s="44"/>
      <c r="CI274" s="44"/>
      <c r="CJ274" s="44"/>
      <c r="CK274" s="44"/>
      <c r="CL274" s="44"/>
      <c r="CM274" s="44"/>
      <c r="CN274" s="44"/>
      <c r="CO274" s="44"/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  <c r="DK274" s="44"/>
      <c r="DL274" s="44"/>
      <c r="DM274" s="44"/>
      <c r="DN274" s="44"/>
      <c r="DO274" s="44"/>
      <c r="DP274" s="44"/>
      <c r="DQ274" s="44"/>
      <c r="DR274" s="44"/>
      <c r="DS274" s="44"/>
      <c r="DT274" s="44"/>
      <c r="DU274" s="44"/>
      <c r="DV274" s="44"/>
      <c r="DW274" s="44"/>
      <c r="DX274" s="44"/>
      <c r="DY274" s="44"/>
      <c r="DZ274" s="44"/>
      <c r="EA274" s="44"/>
      <c r="EB274" s="44"/>
      <c r="EC274" s="44"/>
      <c r="ED274" s="44"/>
      <c r="EE274" s="44"/>
      <c r="EF274" s="44"/>
      <c r="EG274" s="44"/>
      <c r="EH274" s="44"/>
      <c r="EI274" s="44"/>
      <c r="EJ274" s="44"/>
      <c r="EK274" s="44"/>
      <c r="EL274" s="44"/>
      <c r="EM274" s="44"/>
      <c r="EN274" s="44"/>
      <c r="EO274" s="44"/>
      <c r="EP274" s="4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"/>
      <c r="BN275" s="4"/>
      <c r="BO275" s="44"/>
      <c r="BP275" s="44"/>
      <c r="BQ275" s="44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  <c r="DK275" s="44"/>
      <c r="DL275" s="44"/>
      <c r="DM275" s="44"/>
      <c r="DN275" s="44"/>
      <c r="DO275" s="44"/>
      <c r="DP275" s="44"/>
      <c r="DQ275" s="44"/>
      <c r="DR275" s="44"/>
      <c r="DS275" s="44"/>
      <c r="DT275" s="44"/>
      <c r="DU275" s="44"/>
      <c r="DV275" s="44"/>
      <c r="DW275" s="44"/>
      <c r="DX275" s="44"/>
      <c r="DY275" s="44"/>
      <c r="DZ275" s="44"/>
      <c r="EA275" s="44"/>
      <c r="EB275" s="44"/>
      <c r="EC275" s="44"/>
      <c r="ED275" s="44"/>
      <c r="EE275" s="44"/>
      <c r="EF275" s="44"/>
      <c r="EG275" s="44"/>
      <c r="EH275" s="44"/>
      <c r="EI275" s="44"/>
      <c r="EJ275" s="44"/>
      <c r="EK275" s="44"/>
      <c r="EL275" s="44"/>
      <c r="EM275" s="44"/>
      <c r="EN275" s="44"/>
      <c r="EO275" s="44"/>
      <c r="EP275" s="4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"/>
      <c r="BN276" s="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  <c r="DK276" s="44"/>
      <c r="DL276" s="44"/>
      <c r="DM276" s="44"/>
      <c r="DN276" s="44"/>
      <c r="DO276" s="44"/>
      <c r="DP276" s="44"/>
      <c r="DQ276" s="44"/>
      <c r="DR276" s="44"/>
      <c r="DS276" s="44"/>
      <c r="DT276" s="44"/>
      <c r="DU276" s="44"/>
      <c r="DV276" s="44"/>
      <c r="DW276" s="44"/>
      <c r="DX276" s="44"/>
      <c r="DY276" s="44"/>
      <c r="DZ276" s="44"/>
      <c r="EA276" s="44"/>
      <c r="EB276" s="44"/>
      <c r="EC276" s="44"/>
      <c r="ED276" s="44"/>
      <c r="EE276" s="44"/>
      <c r="EF276" s="44"/>
      <c r="EG276" s="44"/>
      <c r="EH276" s="44"/>
      <c r="EI276" s="44"/>
      <c r="EJ276" s="44"/>
      <c r="EK276" s="44"/>
      <c r="EL276" s="44"/>
      <c r="EM276" s="44"/>
      <c r="EN276" s="44"/>
      <c r="EO276" s="44"/>
      <c r="EP276" s="4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"/>
      <c r="BN277" s="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  <c r="DK277" s="44"/>
      <c r="DL277" s="44"/>
      <c r="DM277" s="44"/>
      <c r="DN277" s="44"/>
      <c r="DO277" s="44"/>
      <c r="DP277" s="44"/>
      <c r="DQ277" s="44"/>
      <c r="DR277" s="44"/>
      <c r="DS277" s="44"/>
      <c r="DT277" s="44"/>
      <c r="DU277" s="44"/>
      <c r="DV277" s="44"/>
      <c r="DW277" s="44"/>
      <c r="DX277" s="44"/>
      <c r="DY277" s="44"/>
      <c r="DZ277" s="44"/>
      <c r="EA277" s="44"/>
      <c r="EB277" s="44"/>
      <c r="EC277" s="44"/>
      <c r="ED277" s="44"/>
      <c r="EE277" s="44"/>
      <c r="EF277" s="44"/>
      <c r="EG277" s="44"/>
      <c r="EH277" s="44"/>
      <c r="EI277" s="44"/>
      <c r="EJ277" s="44"/>
      <c r="EK277" s="44"/>
      <c r="EL277" s="44"/>
      <c r="EM277" s="44"/>
      <c r="EN277" s="44"/>
      <c r="EO277" s="44"/>
      <c r="EP277" s="4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"/>
      <c r="BN278" s="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  <c r="DK278" s="44"/>
      <c r="DL278" s="44"/>
      <c r="DM278" s="44"/>
      <c r="DN278" s="44"/>
      <c r="DO278" s="44"/>
      <c r="DP278" s="44"/>
      <c r="DQ278" s="44"/>
      <c r="DR278" s="44"/>
      <c r="DS278" s="44"/>
      <c r="DT278" s="44"/>
      <c r="DU278" s="44"/>
      <c r="DV278" s="44"/>
      <c r="DW278" s="44"/>
      <c r="DX278" s="44"/>
      <c r="DY278" s="44"/>
      <c r="DZ278" s="44"/>
      <c r="EA278" s="44"/>
      <c r="EB278" s="44"/>
      <c r="EC278" s="44"/>
      <c r="ED278" s="44"/>
      <c r="EE278" s="44"/>
      <c r="EF278" s="44"/>
      <c r="EG278" s="44"/>
      <c r="EH278" s="44"/>
      <c r="EI278" s="44"/>
      <c r="EJ278" s="44"/>
      <c r="EK278" s="44"/>
      <c r="EL278" s="44"/>
      <c r="EM278" s="44"/>
      <c r="EN278" s="44"/>
      <c r="EO278" s="44"/>
      <c r="EP278" s="4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"/>
      <c r="BN279" s="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  <c r="DK279" s="44"/>
      <c r="DL279" s="44"/>
      <c r="DM279" s="44"/>
      <c r="DN279" s="44"/>
      <c r="DO279" s="44"/>
      <c r="DP279" s="44"/>
      <c r="DQ279" s="44"/>
      <c r="DR279" s="44"/>
      <c r="DS279" s="44"/>
      <c r="DT279" s="44"/>
      <c r="DU279" s="44"/>
      <c r="DV279" s="44"/>
      <c r="DW279" s="44"/>
      <c r="DX279" s="44"/>
      <c r="DY279" s="44"/>
      <c r="DZ279" s="44"/>
      <c r="EA279" s="44"/>
      <c r="EB279" s="44"/>
      <c r="EC279" s="44"/>
      <c r="ED279" s="44"/>
      <c r="EE279" s="44"/>
      <c r="EF279" s="44"/>
      <c r="EG279" s="44"/>
      <c r="EH279" s="44"/>
      <c r="EI279" s="44"/>
      <c r="EJ279" s="44"/>
      <c r="EK279" s="44"/>
      <c r="EL279" s="44"/>
      <c r="EM279" s="44"/>
      <c r="EN279" s="44"/>
      <c r="EO279" s="44"/>
      <c r="EP279" s="4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"/>
      <c r="BN280" s="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  <c r="DK280" s="44"/>
      <c r="DL280" s="44"/>
      <c r="DM280" s="44"/>
      <c r="DN280" s="44"/>
      <c r="DO280" s="44"/>
      <c r="DP280" s="44"/>
      <c r="DQ280" s="44"/>
      <c r="DR280" s="44"/>
      <c r="DS280" s="44"/>
      <c r="DT280" s="44"/>
      <c r="DU280" s="44"/>
      <c r="DV280" s="44"/>
      <c r="DW280" s="44"/>
      <c r="DX280" s="44"/>
      <c r="DY280" s="44"/>
      <c r="DZ280" s="44"/>
      <c r="EA280" s="44"/>
      <c r="EB280" s="44"/>
      <c r="EC280" s="44"/>
      <c r="ED280" s="44"/>
      <c r="EE280" s="44"/>
      <c r="EF280" s="44"/>
      <c r="EG280" s="44"/>
      <c r="EH280" s="44"/>
      <c r="EI280" s="44"/>
      <c r="EJ280" s="44"/>
      <c r="EK280" s="44"/>
      <c r="EL280" s="44"/>
      <c r="EM280" s="44"/>
      <c r="EN280" s="44"/>
      <c r="EO280" s="44"/>
      <c r="EP280" s="4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"/>
      <c r="BN281" s="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  <c r="DK281" s="44"/>
      <c r="DL281" s="44"/>
      <c r="DM281" s="44"/>
      <c r="DN281" s="44"/>
      <c r="DO281" s="44"/>
      <c r="DP281" s="44"/>
      <c r="DQ281" s="44"/>
      <c r="DR281" s="44"/>
      <c r="DS281" s="44"/>
      <c r="DT281" s="44"/>
      <c r="DU281" s="44"/>
      <c r="DV281" s="44"/>
      <c r="DW281" s="44"/>
      <c r="DX281" s="44"/>
      <c r="DY281" s="44"/>
      <c r="DZ281" s="44"/>
      <c r="EA281" s="44"/>
      <c r="EB281" s="44"/>
      <c r="EC281" s="44"/>
      <c r="ED281" s="44"/>
      <c r="EE281" s="44"/>
      <c r="EF281" s="44"/>
      <c r="EG281" s="44"/>
      <c r="EH281" s="44"/>
      <c r="EI281" s="44"/>
      <c r="EJ281" s="44"/>
      <c r="EK281" s="44"/>
      <c r="EL281" s="44"/>
      <c r="EM281" s="44"/>
      <c r="EN281" s="44"/>
      <c r="EO281" s="44"/>
      <c r="EP281" s="44"/>
    </row>
    <row r="282"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"/>
      <c r="BN282" s="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  <c r="DK282" s="44"/>
      <c r="DL282" s="44"/>
      <c r="DM282" s="44"/>
      <c r="DN282" s="44"/>
      <c r="DO282" s="44"/>
      <c r="DP282" s="44"/>
      <c r="DQ282" s="44"/>
      <c r="DR282" s="44"/>
      <c r="DS282" s="44"/>
      <c r="DT282" s="44"/>
      <c r="DU282" s="44"/>
      <c r="DV282" s="44"/>
      <c r="DW282" s="44"/>
      <c r="DX282" s="44"/>
      <c r="DY282" s="44"/>
      <c r="DZ282" s="44"/>
      <c r="EA282" s="44"/>
      <c r="EB282" s="44"/>
      <c r="EC282" s="44"/>
      <c r="ED282" s="44"/>
      <c r="EE282" s="44"/>
      <c r="EF282" s="44"/>
      <c r="EG282" s="44"/>
      <c r="EH282" s="44"/>
      <c r="EI282" s="44"/>
      <c r="EJ282" s="44"/>
      <c r="EK282" s="44"/>
      <c r="EL282" s="44"/>
      <c r="EM282" s="44"/>
      <c r="EN282" s="44"/>
      <c r="EO282" s="44"/>
      <c r="EP282" s="44"/>
    </row>
    <row r="283"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"/>
      <c r="BN283" s="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  <c r="DK283" s="44"/>
      <c r="DL283" s="44"/>
      <c r="DM283" s="44"/>
      <c r="DN283" s="44"/>
      <c r="DO283" s="44"/>
      <c r="DP283" s="44"/>
      <c r="DQ283" s="44"/>
      <c r="DR283" s="44"/>
      <c r="DS283" s="44"/>
      <c r="DT283" s="44"/>
      <c r="DU283" s="44"/>
      <c r="DV283" s="44"/>
      <c r="DW283" s="44"/>
      <c r="DX283" s="44"/>
      <c r="DY283" s="44"/>
      <c r="DZ283" s="44"/>
      <c r="EA283" s="44"/>
      <c r="EB283" s="44"/>
      <c r="EC283" s="44"/>
      <c r="ED283" s="44"/>
      <c r="EE283" s="44"/>
      <c r="EF283" s="44"/>
      <c r="EG283" s="44"/>
      <c r="EH283" s="44"/>
      <c r="EI283" s="44"/>
      <c r="EJ283" s="44"/>
      <c r="EK283" s="44"/>
      <c r="EL283" s="44"/>
      <c r="EM283" s="44"/>
      <c r="EN283" s="44"/>
      <c r="EO283" s="44"/>
      <c r="EP283" s="44"/>
    </row>
    <row r="284"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"/>
      <c r="BN284" s="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  <c r="DK284" s="44"/>
      <c r="DL284" s="44"/>
      <c r="DM284" s="44"/>
      <c r="DN284" s="44"/>
      <c r="DO284" s="44"/>
      <c r="DP284" s="44"/>
      <c r="DQ284" s="44"/>
      <c r="DR284" s="44"/>
      <c r="DS284" s="44"/>
      <c r="DT284" s="44"/>
      <c r="DU284" s="44"/>
      <c r="DV284" s="44"/>
      <c r="DW284" s="44"/>
      <c r="DX284" s="44"/>
      <c r="DY284" s="44"/>
      <c r="DZ284" s="44"/>
      <c r="EA284" s="44"/>
      <c r="EB284" s="44"/>
      <c r="EC284" s="44"/>
      <c r="ED284" s="44"/>
      <c r="EE284" s="44"/>
      <c r="EF284" s="44"/>
      <c r="EG284" s="44"/>
      <c r="EH284" s="44"/>
      <c r="EI284" s="44"/>
      <c r="EJ284" s="44"/>
      <c r="EK284" s="44"/>
      <c r="EL284" s="44"/>
      <c r="EM284" s="44"/>
      <c r="EN284" s="44"/>
      <c r="EO284" s="44"/>
      <c r="EP284" s="44"/>
    </row>
    <row r="285"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"/>
      <c r="BN285" s="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4"/>
      <c r="DN285" s="44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</row>
    <row r="286"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"/>
      <c r="BN286" s="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  <c r="DF286" s="44"/>
      <c r="DG286" s="44"/>
      <c r="DH286" s="44"/>
      <c r="DI286" s="44"/>
      <c r="DJ286" s="44"/>
      <c r="DK286" s="44"/>
      <c r="DL286" s="44"/>
      <c r="DM286" s="44"/>
      <c r="DN286" s="44"/>
      <c r="DO286" s="44"/>
      <c r="DP286" s="44"/>
      <c r="DQ286" s="44"/>
      <c r="DR286" s="44"/>
      <c r="DS286" s="44"/>
      <c r="DT286" s="44"/>
      <c r="DU286" s="44"/>
      <c r="DV286" s="44"/>
      <c r="DW286" s="44"/>
      <c r="DX286" s="44"/>
      <c r="DY286" s="44"/>
      <c r="DZ286" s="44"/>
      <c r="EA286" s="44"/>
      <c r="EB286" s="44"/>
      <c r="EC286" s="44"/>
      <c r="ED286" s="44"/>
      <c r="EE286" s="44"/>
      <c r="EF286" s="44"/>
      <c r="EG286" s="44"/>
      <c r="EH286" s="44"/>
      <c r="EI286" s="44"/>
      <c r="EJ286" s="44"/>
      <c r="EK286" s="44"/>
      <c r="EL286" s="44"/>
      <c r="EM286" s="44"/>
      <c r="EN286" s="44"/>
      <c r="EO286" s="44"/>
      <c r="EP286" s="44"/>
    </row>
    <row r="287"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"/>
      <c r="BN287" s="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  <c r="DK287" s="44"/>
      <c r="DL287" s="44"/>
      <c r="DM287" s="44"/>
      <c r="DN287" s="44"/>
      <c r="DO287" s="44"/>
      <c r="DP287" s="44"/>
      <c r="DQ287" s="44"/>
      <c r="DR287" s="44"/>
      <c r="DS287" s="44"/>
      <c r="DT287" s="44"/>
      <c r="DU287" s="44"/>
      <c r="DV287" s="44"/>
      <c r="DW287" s="44"/>
      <c r="DX287" s="44"/>
      <c r="DY287" s="44"/>
      <c r="DZ287" s="44"/>
      <c r="EA287" s="44"/>
      <c r="EB287" s="44"/>
      <c r="EC287" s="44"/>
      <c r="ED287" s="44"/>
      <c r="EE287" s="44"/>
      <c r="EF287" s="44"/>
      <c r="EG287" s="44"/>
      <c r="EH287" s="44"/>
      <c r="EI287" s="44"/>
      <c r="EJ287" s="44"/>
      <c r="EK287" s="44"/>
      <c r="EL287" s="44"/>
      <c r="EM287" s="44"/>
      <c r="EN287" s="44"/>
      <c r="EO287" s="44"/>
      <c r="EP287" s="44"/>
    </row>
    <row r="288"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"/>
      <c r="BN288" s="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  <c r="DK288" s="44"/>
      <c r="DL288" s="44"/>
      <c r="DM288" s="44"/>
      <c r="DN288" s="44"/>
      <c r="DO288" s="44"/>
      <c r="DP288" s="44"/>
      <c r="DQ288" s="44"/>
      <c r="DR288" s="44"/>
      <c r="DS288" s="44"/>
      <c r="DT288" s="44"/>
      <c r="DU288" s="44"/>
      <c r="DV288" s="44"/>
      <c r="DW288" s="44"/>
      <c r="DX288" s="44"/>
      <c r="DY288" s="44"/>
      <c r="DZ288" s="44"/>
      <c r="EA288" s="44"/>
      <c r="EB288" s="44"/>
      <c r="EC288" s="44"/>
      <c r="ED288" s="44"/>
      <c r="EE288" s="44"/>
      <c r="EF288" s="44"/>
      <c r="EG288" s="44"/>
      <c r="EH288" s="44"/>
      <c r="EI288" s="44"/>
      <c r="EJ288" s="44"/>
      <c r="EK288" s="44"/>
      <c r="EL288" s="44"/>
      <c r="EM288" s="44"/>
      <c r="EN288" s="44"/>
      <c r="EO288" s="44"/>
      <c r="EP288" s="44"/>
    </row>
    <row r="289"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"/>
      <c r="BN289" s="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  <c r="DK289" s="44"/>
      <c r="DL289" s="44"/>
      <c r="DM289" s="44"/>
      <c r="DN289" s="44"/>
      <c r="DO289" s="44"/>
      <c r="DP289" s="44"/>
      <c r="DQ289" s="44"/>
      <c r="DR289" s="44"/>
      <c r="DS289" s="44"/>
      <c r="DT289" s="44"/>
      <c r="DU289" s="44"/>
      <c r="DV289" s="44"/>
      <c r="DW289" s="44"/>
      <c r="DX289" s="44"/>
      <c r="DY289" s="44"/>
      <c r="DZ289" s="44"/>
      <c r="EA289" s="44"/>
      <c r="EB289" s="44"/>
      <c r="EC289" s="44"/>
      <c r="ED289" s="44"/>
      <c r="EE289" s="44"/>
      <c r="EF289" s="44"/>
      <c r="EG289" s="44"/>
      <c r="EH289" s="44"/>
      <c r="EI289" s="44"/>
      <c r="EJ289" s="44"/>
      <c r="EK289" s="44"/>
      <c r="EL289" s="44"/>
      <c r="EM289" s="44"/>
      <c r="EN289" s="44"/>
      <c r="EO289" s="44"/>
      <c r="EP289" s="44"/>
    </row>
    <row r="290"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"/>
      <c r="BN290" s="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  <c r="DK290" s="44"/>
      <c r="DL290" s="44"/>
      <c r="DM290" s="44"/>
      <c r="DN290" s="44"/>
      <c r="DO290" s="44"/>
      <c r="DP290" s="44"/>
      <c r="DQ290" s="44"/>
      <c r="DR290" s="44"/>
      <c r="DS290" s="44"/>
      <c r="DT290" s="44"/>
      <c r="DU290" s="44"/>
      <c r="DV290" s="44"/>
      <c r="DW290" s="44"/>
      <c r="DX290" s="44"/>
      <c r="DY290" s="44"/>
      <c r="DZ290" s="44"/>
      <c r="EA290" s="44"/>
      <c r="EB290" s="44"/>
      <c r="EC290" s="44"/>
      <c r="ED290" s="44"/>
      <c r="EE290" s="44"/>
      <c r="EF290" s="44"/>
      <c r="EG290" s="44"/>
      <c r="EH290" s="44"/>
      <c r="EI290" s="44"/>
      <c r="EJ290" s="44"/>
      <c r="EK290" s="44"/>
      <c r="EL290" s="44"/>
      <c r="EM290" s="44"/>
      <c r="EN290" s="44"/>
      <c r="EO290" s="44"/>
      <c r="EP290" s="44"/>
    </row>
    <row r="291"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"/>
      <c r="BN291" s="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  <c r="DK291" s="44"/>
      <c r="DL291" s="44"/>
      <c r="DM291" s="44"/>
      <c r="DN291" s="44"/>
      <c r="DO291" s="44"/>
      <c r="DP291" s="44"/>
      <c r="DQ291" s="44"/>
      <c r="DR291" s="44"/>
      <c r="DS291" s="44"/>
      <c r="DT291" s="44"/>
      <c r="DU291" s="44"/>
      <c r="DV291" s="44"/>
      <c r="DW291" s="44"/>
      <c r="DX291" s="44"/>
      <c r="DY291" s="44"/>
      <c r="DZ291" s="44"/>
      <c r="EA291" s="44"/>
      <c r="EB291" s="44"/>
      <c r="EC291" s="44"/>
      <c r="ED291" s="44"/>
      <c r="EE291" s="44"/>
      <c r="EF291" s="44"/>
      <c r="EG291" s="44"/>
      <c r="EH291" s="44"/>
      <c r="EI291" s="44"/>
      <c r="EJ291" s="44"/>
      <c r="EK291" s="44"/>
      <c r="EL291" s="44"/>
      <c r="EM291" s="44"/>
      <c r="EN291" s="44"/>
      <c r="EO291" s="44"/>
      <c r="EP291" s="44"/>
    </row>
    <row r="292"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"/>
      <c r="BN292" s="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  <c r="DK292" s="44"/>
      <c r="DL292" s="44"/>
      <c r="DM292" s="44"/>
      <c r="DN292" s="44"/>
      <c r="DO292" s="44"/>
      <c r="DP292" s="44"/>
      <c r="DQ292" s="44"/>
      <c r="DR292" s="44"/>
      <c r="DS292" s="44"/>
      <c r="DT292" s="44"/>
      <c r="DU292" s="44"/>
      <c r="DV292" s="44"/>
      <c r="DW292" s="44"/>
      <c r="DX292" s="44"/>
      <c r="DY292" s="44"/>
      <c r="DZ292" s="44"/>
      <c r="EA292" s="44"/>
      <c r="EB292" s="44"/>
      <c r="EC292" s="44"/>
      <c r="ED292" s="44"/>
      <c r="EE292" s="44"/>
      <c r="EF292" s="44"/>
      <c r="EG292" s="44"/>
      <c r="EH292" s="44"/>
      <c r="EI292" s="44"/>
      <c r="EJ292" s="44"/>
      <c r="EK292" s="44"/>
      <c r="EL292" s="44"/>
      <c r="EM292" s="44"/>
      <c r="EN292" s="44"/>
      <c r="EO292" s="44"/>
      <c r="EP292" s="44"/>
    </row>
    <row r="293"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"/>
      <c r="BN293" s="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  <c r="DK293" s="44"/>
      <c r="DL293" s="44"/>
      <c r="DM293" s="44"/>
      <c r="DN293" s="44"/>
      <c r="DO293" s="44"/>
      <c r="DP293" s="44"/>
      <c r="DQ293" s="44"/>
      <c r="DR293" s="44"/>
      <c r="DS293" s="44"/>
      <c r="DT293" s="44"/>
      <c r="DU293" s="44"/>
      <c r="DV293" s="44"/>
      <c r="DW293" s="44"/>
      <c r="DX293" s="44"/>
      <c r="DY293" s="44"/>
      <c r="DZ293" s="44"/>
      <c r="EA293" s="44"/>
      <c r="EB293" s="44"/>
      <c r="EC293" s="44"/>
      <c r="ED293" s="44"/>
      <c r="EE293" s="44"/>
      <c r="EF293" s="44"/>
      <c r="EG293" s="44"/>
      <c r="EH293" s="44"/>
      <c r="EI293" s="44"/>
      <c r="EJ293" s="44"/>
      <c r="EK293" s="44"/>
      <c r="EL293" s="44"/>
      <c r="EM293" s="44"/>
      <c r="EN293" s="44"/>
      <c r="EO293" s="44"/>
      <c r="EP293" s="44"/>
    </row>
    <row r="294"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"/>
      <c r="BN294" s="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  <c r="DK294" s="44"/>
      <c r="DL294" s="44"/>
      <c r="DM294" s="44"/>
      <c r="DN294" s="44"/>
      <c r="DO294" s="44"/>
      <c r="DP294" s="44"/>
      <c r="DQ294" s="44"/>
      <c r="DR294" s="44"/>
      <c r="DS294" s="44"/>
      <c r="DT294" s="44"/>
      <c r="DU294" s="44"/>
      <c r="DV294" s="44"/>
      <c r="DW294" s="44"/>
      <c r="DX294" s="44"/>
      <c r="DY294" s="44"/>
      <c r="DZ294" s="44"/>
      <c r="EA294" s="44"/>
      <c r="EB294" s="44"/>
      <c r="EC294" s="44"/>
      <c r="ED294" s="44"/>
      <c r="EE294" s="44"/>
      <c r="EF294" s="44"/>
      <c r="EG294" s="44"/>
      <c r="EH294" s="44"/>
      <c r="EI294" s="44"/>
      <c r="EJ294" s="44"/>
      <c r="EK294" s="44"/>
      <c r="EL294" s="44"/>
      <c r="EM294" s="44"/>
      <c r="EN294" s="44"/>
      <c r="EO294" s="44"/>
      <c r="EP294" s="44"/>
    </row>
    <row r="295"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"/>
      <c r="BN295" s="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44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  <c r="DK295" s="44"/>
      <c r="DL295" s="44"/>
      <c r="DM295" s="44"/>
      <c r="DN295" s="44"/>
      <c r="DO295" s="44"/>
      <c r="DP295" s="44"/>
      <c r="DQ295" s="44"/>
      <c r="DR295" s="44"/>
      <c r="DS295" s="44"/>
      <c r="DT295" s="44"/>
      <c r="DU295" s="44"/>
      <c r="DV295" s="44"/>
      <c r="DW295" s="44"/>
      <c r="DX295" s="44"/>
      <c r="DY295" s="44"/>
      <c r="DZ295" s="44"/>
      <c r="EA295" s="44"/>
      <c r="EB295" s="44"/>
      <c r="EC295" s="44"/>
      <c r="ED295" s="44"/>
      <c r="EE295" s="44"/>
      <c r="EF295" s="44"/>
      <c r="EG295" s="44"/>
      <c r="EH295" s="44"/>
      <c r="EI295" s="44"/>
      <c r="EJ295" s="44"/>
      <c r="EK295" s="44"/>
      <c r="EL295" s="44"/>
      <c r="EM295" s="44"/>
      <c r="EN295" s="44"/>
      <c r="EO295" s="44"/>
      <c r="EP295" s="44"/>
    </row>
    <row r="296"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"/>
      <c r="BN296" s="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44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  <c r="DK296" s="44"/>
      <c r="DL296" s="44"/>
      <c r="DM296" s="44"/>
      <c r="DN296" s="44"/>
      <c r="DO296" s="44"/>
      <c r="DP296" s="44"/>
      <c r="DQ296" s="44"/>
      <c r="DR296" s="44"/>
      <c r="DS296" s="44"/>
      <c r="DT296" s="44"/>
      <c r="DU296" s="44"/>
      <c r="DV296" s="44"/>
      <c r="DW296" s="44"/>
      <c r="DX296" s="44"/>
      <c r="DY296" s="44"/>
      <c r="DZ296" s="44"/>
      <c r="EA296" s="44"/>
      <c r="EB296" s="44"/>
      <c r="EC296" s="44"/>
      <c r="ED296" s="44"/>
      <c r="EE296" s="44"/>
      <c r="EF296" s="44"/>
      <c r="EG296" s="44"/>
      <c r="EH296" s="44"/>
      <c r="EI296" s="44"/>
      <c r="EJ296" s="44"/>
      <c r="EK296" s="44"/>
      <c r="EL296" s="44"/>
      <c r="EM296" s="44"/>
      <c r="EN296" s="44"/>
      <c r="EO296" s="44"/>
      <c r="EP296" s="44"/>
    </row>
    <row r="297"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"/>
      <c r="BN297" s="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44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  <c r="DK297" s="44"/>
      <c r="DL297" s="44"/>
      <c r="DM297" s="44"/>
      <c r="DN297" s="44"/>
      <c r="DO297" s="44"/>
      <c r="DP297" s="44"/>
      <c r="DQ297" s="44"/>
      <c r="DR297" s="44"/>
      <c r="DS297" s="44"/>
      <c r="DT297" s="44"/>
      <c r="DU297" s="44"/>
      <c r="DV297" s="44"/>
      <c r="DW297" s="44"/>
      <c r="DX297" s="44"/>
      <c r="DY297" s="44"/>
      <c r="DZ297" s="44"/>
      <c r="EA297" s="44"/>
      <c r="EB297" s="44"/>
      <c r="EC297" s="44"/>
      <c r="ED297" s="44"/>
      <c r="EE297" s="44"/>
      <c r="EF297" s="44"/>
      <c r="EG297" s="44"/>
      <c r="EH297" s="44"/>
      <c r="EI297" s="44"/>
      <c r="EJ297" s="44"/>
      <c r="EK297" s="44"/>
      <c r="EL297" s="44"/>
      <c r="EM297" s="44"/>
      <c r="EN297" s="44"/>
      <c r="EO297" s="44"/>
      <c r="EP297" s="44"/>
    </row>
    <row r="298"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"/>
      <c r="BN298" s="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44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  <c r="DK298" s="44"/>
      <c r="DL298" s="44"/>
      <c r="DM298" s="44"/>
      <c r="DN298" s="44"/>
      <c r="DO298" s="44"/>
      <c r="DP298" s="44"/>
      <c r="DQ298" s="44"/>
      <c r="DR298" s="44"/>
      <c r="DS298" s="44"/>
      <c r="DT298" s="44"/>
      <c r="DU298" s="44"/>
      <c r="DV298" s="44"/>
      <c r="DW298" s="44"/>
      <c r="DX298" s="44"/>
      <c r="DY298" s="44"/>
      <c r="DZ298" s="44"/>
      <c r="EA298" s="44"/>
      <c r="EB298" s="44"/>
      <c r="EC298" s="44"/>
      <c r="ED298" s="44"/>
      <c r="EE298" s="44"/>
      <c r="EF298" s="44"/>
      <c r="EG298" s="44"/>
      <c r="EH298" s="44"/>
      <c r="EI298" s="44"/>
      <c r="EJ298" s="44"/>
      <c r="EK298" s="44"/>
      <c r="EL298" s="44"/>
      <c r="EM298" s="44"/>
      <c r="EN298" s="44"/>
      <c r="EO298" s="44"/>
      <c r="EP298" s="44"/>
    </row>
    <row r="299"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"/>
      <c r="BN299" s="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44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  <c r="DK299" s="44"/>
      <c r="DL299" s="44"/>
      <c r="DM299" s="44"/>
      <c r="DN299" s="44"/>
      <c r="DO299" s="44"/>
      <c r="DP299" s="44"/>
      <c r="DQ299" s="44"/>
      <c r="DR299" s="44"/>
      <c r="DS299" s="44"/>
      <c r="DT299" s="44"/>
      <c r="DU299" s="44"/>
      <c r="DV299" s="44"/>
      <c r="DW299" s="44"/>
      <c r="DX299" s="44"/>
      <c r="DY299" s="44"/>
      <c r="DZ299" s="44"/>
      <c r="EA299" s="44"/>
      <c r="EB299" s="44"/>
      <c r="EC299" s="44"/>
      <c r="ED299" s="44"/>
      <c r="EE299" s="44"/>
      <c r="EF299" s="44"/>
      <c r="EG299" s="44"/>
      <c r="EH299" s="44"/>
      <c r="EI299" s="44"/>
      <c r="EJ299" s="44"/>
      <c r="EK299" s="44"/>
      <c r="EL299" s="44"/>
      <c r="EM299" s="44"/>
      <c r="EN299" s="44"/>
      <c r="EO299" s="44"/>
      <c r="EP299" s="44"/>
    </row>
    <row r="300"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"/>
      <c r="BN300" s="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  <c r="CM300" s="44"/>
      <c r="CN300" s="44"/>
      <c r="CO300" s="44"/>
      <c r="CP300" s="44"/>
      <c r="CQ300" s="44"/>
      <c r="CR300" s="44"/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  <c r="DF300" s="44"/>
      <c r="DG300" s="44"/>
      <c r="DH300" s="44"/>
      <c r="DI300" s="44"/>
      <c r="DJ300" s="44"/>
      <c r="DK300" s="44"/>
      <c r="DL300" s="44"/>
      <c r="DM300" s="44"/>
      <c r="DN300" s="44"/>
      <c r="DO300" s="44"/>
      <c r="DP300" s="44"/>
      <c r="DQ300" s="44"/>
      <c r="DR300" s="44"/>
      <c r="DS300" s="44"/>
      <c r="DT300" s="44"/>
      <c r="DU300" s="44"/>
      <c r="DV300" s="44"/>
      <c r="DW300" s="44"/>
      <c r="DX300" s="44"/>
      <c r="DY300" s="44"/>
      <c r="DZ300" s="44"/>
      <c r="EA300" s="44"/>
      <c r="EB300" s="44"/>
      <c r="EC300" s="44"/>
      <c r="ED300" s="44"/>
      <c r="EE300" s="44"/>
      <c r="EF300" s="44"/>
      <c r="EG300" s="44"/>
      <c r="EH300" s="44"/>
      <c r="EI300" s="44"/>
      <c r="EJ300" s="44"/>
      <c r="EK300" s="44"/>
      <c r="EL300" s="44"/>
      <c r="EM300" s="44"/>
      <c r="EN300" s="44"/>
      <c r="EO300" s="44"/>
      <c r="EP300" s="44"/>
    </row>
    <row r="301"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"/>
      <c r="BN301" s="4"/>
      <c r="BO301" s="44"/>
      <c r="BP301" s="44"/>
      <c r="BQ301" s="44"/>
      <c r="BR301" s="44"/>
      <c r="BS301" s="44"/>
      <c r="BT301" s="44"/>
      <c r="BU301" s="44"/>
      <c r="BV301" s="44"/>
      <c r="BW301" s="44"/>
      <c r="BX301" s="44"/>
      <c r="BY301" s="44"/>
      <c r="BZ301" s="44"/>
      <c r="CA301" s="44"/>
      <c r="CB301" s="44"/>
      <c r="CC301" s="44"/>
      <c r="CD301" s="44"/>
      <c r="CE301" s="44"/>
      <c r="CF301" s="44"/>
      <c r="CG301" s="44"/>
      <c r="CH301" s="44"/>
      <c r="CI301" s="44"/>
      <c r="CJ301" s="44"/>
      <c r="CK301" s="44"/>
      <c r="CL301" s="44"/>
      <c r="CM301" s="44"/>
      <c r="CN301" s="44"/>
      <c r="CO301" s="44"/>
      <c r="CP301" s="44"/>
      <c r="CQ301" s="44"/>
      <c r="CR301" s="44"/>
      <c r="CS301" s="44"/>
      <c r="CT301" s="44"/>
      <c r="CU301" s="44"/>
      <c r="CV301" s="44"/>
      <c r="CW301" s="44"/>
      <c r="CX301" s="44"/>
      <c r="CY301" s="44"/>
      <c r="CZ301" s="44"/>
      <c r="DA301" s="44"/>
      <c r="DB301" s="44"/>
      <c r="DC301" s="44"/>
      <c r="DD301" s="44"/>
      <c r="DE301" s="44"/>
      <c r="DF301" s="44"/>
      <c r="DG301" s="44"/>
      <c r="DH301" s="44"/>
      <c r="DI301" s="44"/>
      <c r="DJ301" s="44"/>
      <c r="DK301" s="44"/>
      <c r="DL301" s="44"/>
      <c r="DM301" s="44"/>
      <c r="DN301" s="44"/>
      <c r="DO301" s="44"/>
      <c r="DP301" s="44"/>
      <c r="DQ301" s="44"/>
      <c r="DR301" s="44"/>
      <c r="DS301" s="44"/>
      <c r="DT301" s="44"/>
      <c r="DU301" s="44"/>
      <c r="DV301" s="44"/>
      <c r="DW301" s="44"/>
      <c r="DX301" s="44"/>
      <c r="DY301" s="44"/>
      <c r="DZ301" s="44"/>
      <c r="EA301" s="44"/>
      <c r="EB301" s="44"/>
      <c r="EC301" s="44"/>
      <c r="ED301" s="44"/>
      <c r="EE301" s="44"/>
      <c r="EF301" s="44"/>
      <c r="EG301" s="44"/>
      <c r="EH301" s="44"/>
      <c r="EI301" s="44"/>
      <c r="EJ301" s="44"/>
      <c r="EK301" s="44"/>
      <c r="EL301" s="44"/>
      <c r="EM301" s="44"/>
      <c r="EN301" s="44"/>
      <c r="EO301" s="44"/>
      <c r="EP301" s="44"/>
    </row>
    <row r="302"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"/>
      <c r="BN302" s="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44"/>
      <c r="CB302" s="44"/>
      <c r="CC302" s="44"/>
      <c r="CD302" s="44"/>
      <c r="CE302" s="44"/>
      <c r="CF302" s="44"/>
      <c r="CG302" s="44"/>
      <c r="CH302" s="44"/>
      <c r="CI302" s="44"/>
      <c r="CJ302" s="44"/>
      <c r="CK302" s="44"/>
      <c r="CL302" s="44"/>
      <c r="CM302" s="44"/>
      <c r="CN302" s="44"/>
      <c r="CO302" s="44"/>
      <c r="CP302" s="44"/>
      <c r="CQ302" s="44"/>
      <c r="CR302" s="44"/>
      <c r="CS302" s="44"/>
      <c r="CT302" s="44"/>
      <c r="CU302" s="44"/>
      <c r="CV302" s="44"/>
      <c r="CW302" s="44"/>
      <c r="CX302" s="44"/>
      <c r="CY302" s="44"/>
      <c r="CZ302" s="44"/>
      <c r="DA302" s="44"/>
      <c r="DB302" s="44"/>
      <c r="DC302" s="44"/>
      <c r="DD302" s="44"/>
      <c r="DE302" s="44"/>
      <c r="DF302" s="44"/>
      <c r="DG302" s="44"/>
      <c r="DH302" s="44"/>
      <c r="DI302" s="44"/>
      <c r="DJ302" s="44"/>
      <c r="DK302" s="44"/>
      <c r="DL302" s="44"/>
      <c r="DM302" s="44"/>
      <c r="DN302" s="44"/>
      <c r="DO302" s="44"/>
      <c r="DP302" s="44"/>
      <c r="DQ302" s="44"/>
      <c r="DR302" s="44"/>
      <c r="DS302" s="44"/>
      <c r="DT302" s="44"/>
      <c r="DU302" s="44"/>
      <c r="DV302" s="44"/>
      <c r="DW302" s="44"/>
      <c r="DX302" s="44"/>
      <c r="DY302" s="44"/>
      <c r="DZ302" s="44"/>
      <c r="EA302" s="44"/>
      <c r="EB302" s="44"/>
      <c r="EC302" s="44"/>
      <c r="ED302" s="44"/>
      <c r="EE302" s="44"/>
      <c r="EF302" s="44"/>
      <c r="EG302" s="44"/>
      <c r="EH302" s="44"/>
      <c r="EI302" s="44"/>
      <c r="EJ302" s="44"/>
      <c r="EK302" s="44"/>
      <c r="EL302" s="44"/>
      <c r="EM302" s="44"/>
      <c r="EN302" s="44"/>
      <c r="EO302" s="44"/>
      <c r="EP302" s="44"/>
    </row>
    <row r="303"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"/>
      <c r="BN303" s="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  <c r="CM303" s="44"/>
      <c r="CN303" s="44"/>
      <c r="CO303" s="44"/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  <c r="DF303" s="44"/>
      <c r="DG303" s="44"/>
      <c r="DH303" s="44"/>
      <c r="DI303" s="44"/>
      <c r="DJ303" s="44"/>
      <c r="DK303" s="44"/>
      <c r="DL303" s="44"/>
      <c r="DM303" s="44"/>
      <c r="DN303" s="44"/>
      <c r="DO303" s="44"/>
      <c r="DP303" s="44"/>
      <c r="DQ303" s="44"/>
      <c r="DR303" s="44"/>
      <c r="DS303" s="44"/>
      <c r="DT303" s="44"/>
      <c r="DU303" s="44"/>
      <c r="DV303" s="44"/>
      <c r="DW303" s="44"/>
      <c r="DX303" s="44"/>
      <c r="DY303" s="44"/>
      <c r="DZ303" s="44"/>
      <c r="EA303" s="44"/>
      <c r="EB303" s="44"/>
      <c r="EC303" s="44"/>
      <c r="ED303" s="44"/>
      <c r="EE303" s="44"/>
      <c r="EF303" s="44"/>
      <c r="EG303" s="44"/>
      <c r="EH303" s="44"/>
      <c r="EI303" s="44"/>
      <c r="EJ303" s="44"/>
      <c r="EK303" s="44"/>
      <c r="EL303" s="44"/>
      <c r="EM303" s="44"/>
      <c r="EN303" s="44"/>
      <c r="EO303" s="44"/>
      <c r="EP303" s="44"/>
    </row>
    <row r="304"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"/>
      <c r="BN304" s="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44"/>
      <c r="CB304" s="44"/>
      <c r="CC304" s="44"/>
      <c r="CD304" s="44"/>
      <c r="CE304" s="44"/>
      <c r="CF304" s="44"/>
      <c r="CG304" s="44"/>
      <c r="CH304" s="44"/>
      <c r="CI304" s="44"/>
      <c r="CJ304" s="44"/>
      <c r="CK304" s="44"/>
      <c r="CL304" s="44"/>
      <c r="CM304" s="44"/>
      <c r="CN304" s="44"/>
      <c r="CO304" s="44"/>
      <c r="CP304" s="44"/>
      <c r="CQ304" s="44"/>
      <c r="CR304" s="44"/>
      <c r="CS304" s="44"/>
      <c r="CT304" s="44"/>
      <c r="CU304" s="44"/>
      <c r="CV304" s="44"/>
      <c r="CW304" s="44"/>
      <c r="CX304" s="44"/>
      <c r="CY304" s="44"/>
      <c r="CZ304" s="44"/>
      <c r="DA304" s="44"/>
      <c r="DB304" s="44"/>
      <c r="DC304" s="44"/>
      <c r="DD304" s="44"/>
      <c r="DE304" s="44"/>
      <c r="DF304" s="44"/>
      <c r="DG304" s="44"/>
      <c r="DH304" s="44"/>
      <c r="DI304" s="44"/>
      <c r="DJ304" s="44"/>
      <c r="DK304" s="44"/>
      <c r="DL304" s="44"/>
      <c r="DM304" s="44"/>
      <c r="DN304" s="44"/>
      <c r="DO304" s="44"/>
      <c r="DP304" s="44"/>
      <c r="DQ304" s="44"/>
      <c r="DR304" s="44"/>
      <c r="DS304" s="44"/>
      <c r="DT304" s="44"/>
      <c r="DU304" s="44"/>
      <c r="DV304" s="44"/>
      <c r="DW304" s="44"/>
      <c r="DX304" s="44"/>
      <c r="DY304" s="44"/>
      <c r="DZ304" s="44"/>
      <c r="EA304" s="44"/>
      <c r="EB304" s="44"/>
      <c r="EC304" s="44"/>
      <c r="ED304" s="44"/>
      <c r="EE304" s="44"/>
      <c r="EF304" s="44"/>
      <c r="EG304" s="44"/>
      <c r="EH304" s="44"/>
      <c r="EI304" s="44"/>
      <c r="EJ304" s="44"/>
      <c r="EK304" s="44"/>
      <c r="EL304" s="44"/>
      <c r="EM304" s="44"/>
      <c r="EN304" s="44"/>
      <c r="EO304" s="44"/>
      <c r="EP304" s="44"/>
    </row>
    <row r="305"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"/>
      <c r="BN305" s="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/>
      <c r="CB305" s="44"/>
      <c r="CC305" s="44"/>
      <c r="CD305" s="44"/>
      <c r="CE305" s="44"/>
      <c r="CF305" s="44"/>
      <c r="CG305" s="44"/>
      <c r="CH305" s="44"/>
      <c r="CI305" s="44"/>
      <c r="CJ305" s="44"/>
      <c r="CK305" s="44"/>
      <c r="CL305" s="44"/>
      <c r="CM305" s="44"/>
      <c r="CN305" s="44"/>
      <c r="CO305" s="44"/>
      <c r="CP305" s="44"/>
      <c r="CQ305" s="44"/>
      <c r="CR305" s="44"/>
      <c r="CS305" s="44"/>
      <c r="CT305" s="44"/>
      <c r="CU305" s="44"/>
      <c r="CV305" s="44"/>
      <c r="CW305" s="44"/>
      <c r="CX305" s="44"/>
      <c r="CY305" s="44"/>
      <c r="CZ305" s="44"/>
      <c r="DA305" s="44"/>
      <c r="DB305" s="44"/>
      <c r="DC305" s="44"/>
      <c r="DD305" s="44"/>
      <c r="DE305" s="44"/>
      <c r="DF305" s="44"/>
      <c r="DG305" s="44"/>
      <c r="DH305" s="44"/>
      <c r="DI305" s="44"/>
      <c r="DJ305" s="44"/>
      <c r="DK305" s="44"/>
      <c r="DL305" s="44"/>
      <c r="DM305" s="44"/>
      <c r="DN305" s="44"/>
      <c r="DO305" s="44"/>
      <c r="DP305" s="44"/>
      <c r="DQ305" s="44"/>
      <c r="DR305" s="44"/>
      <c r="DS305" s="44"/>
      <c r="DT305" s="44"/>
      <c r="DU305" s="44"/>
      <c r="DV305" s="44"/>
      <c r="DW305" s="44"/>
      <c r="DX305" s="44"/>
      <c r="DY305" s="44"/>
      <c r="DZ305" s="44"/>
      <c r="EA305" s="44"/>
      <c r="EB305" s="44"/>
      <c r="EC305" s="44"/>
      <c r="ED305" s="44"/>
      <c r="EE305" s="44"/>
      <c r="EF305" s="44"/>
      <c r="EG305" s="44"/>
      <c r="EH305" s="44"/>
      <c r="EI305" s="44"/>
      <c r="EJ305" s="44"/>
      <c r="EK305" s="44"/>
      <c r="EL305" s="44"/>
      <c r="EM305" s="44"/>
      <c r="EN305" s="44"/>
      <c r="EO305" s="44"/>
      <c r="EP305" s="44"/>
    </row>
    <row r="306"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"/>
      <c r="BN306" s="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44"/>
      <c r="CB306" s="44"/>
      <c r="CC306" s="44"/>
      <c r="CD306" s="44"/>
      <c r="CE306" s="44"/>
      <c r="CF306" s="44"/>
      <c r="CG306" s="44"/>
      <c r="CH306" s="44"/>
      <c r="CI306" s="44"/>
      <c r="CJ306" s="44"/>
      <c r="CK306" s="44"/>
      <c r="CL306" s="44"/>
      <c r="CM306" s="44"/>
      <c r="CN306" s="44"/>
      <c r="CO306" s="44"/>
      <c r="CP306" s="44"/>
      <c r="CQ306" s="44"/>
      <c r="CR306" s="44"/>
      <c r="CS306" s="44"/>
      <c r="CT306" s="44"/>
      <c r="CU306" s="44"/>
      <c r="CV306" s="44"/>
      <c r="CW306" s="44"/>
      <c r="CX306" s="44"/>
      <c r="CY306" s="44"/>
      <c r="CZ306" s="44"/>
      <c r="DA306" s="44"/>
      <c r="DB306" s="44"/>
      <c r="DC306" s="44"/>
      <c r="DD306" s="44"/>
      <c r="DE306" s="44"/>
      <c r="DF306" s="44"/>
      <c r="DG306" s="44"/>
      <c r="DH306" s="44"/>
      <c r="DI306" s="44"/>
      <c r="DJ306" s="44"/>
      <c r="DK306" s="44"/>
      <c r="DL306" s="44"/>
      <c r="DM306" s="44"/>
      <c r="DN306" s="44"/>
      <c r="DO306" s="44"/>
      <c r="DP306" s="44"/>
      <c r="DQ306" s="44"/>
      <c r="DR306" s="44"/>
      <c r="DS306" s="44"/>
      <c r="DT306" s="44"/>
      <c r="DU306" s="44"/>
      <c r="DV306" s="44"/>
      <c r="DW306" s="44"/>
      <c r="DX306" s="44"/>
      <c r="DY306" s="44"/>
      <c r="DZ306" s="44"/>
      <c r="EA306" s="44"/>
      <c r="EB306" s="44"/>
      <c r="EC306" s="44"/>
      <c r="ED306" s="44"/>
      <c r="EE306" s="44"/>
      <c r="EF306" s="44"/>
      <c r="EG306" s="44"/>
      <c r="EH306" s="44"/>
      <c r="EI306" s="44"/>
      <c r="EJ306" s="44"/>
      <c r="EK306" s="44"/>
      <c r="EL306" s="44"/>
      <c r="EM306" s="44"/>
      <c r="EN306" s="44"/>
      <c r="EO306" s="44"/>
      <c r="EP306" s="44"/>
    </row>
    <row r="307"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"/>
      <c r="BN307" s="4"/>
      <c r="BO307" s="44"/>
      <c r="BP307" s="44"/>
      <c r="BQ307" s="44"/>
      <c r="BR307" s="44"/>
      <c r="BS307" s="44"/>
      <c r="BT307" s="44"/>
      <c r="BU307" s="44"/>
      <c r="BV307" s="44"/>
      <c r="BW307" s="44"/>
      <c r="BX307" s="44"/>
      <c r="BY307" s="44"/>
      <c r="BZ307" s="44"/>
      <c r="CA307" s="44"/>
      <c r="CB307" s="44"/>
      <c r="CC307" s="44"/>
      <c r="CD307" s="44"/>
      <c r="CE307" s="44"/>
      <c r="CF307" s="44"/>
      <c r="CG307" s="44"/>
      <c r="CH307" s="44"/>
      <c r="CI307" s="44"/>
      <c r="CJ307" s="44"/>
      <c r="CK307" s="44"/>
      <c r="CL307" s="44"/>
      <c r="CM307" s="44"/>
      <c r="CN307" s="44"/>
      <c r="CO307" s="44"/>
      <c r="CP307" s="44"/>
      <c r="CQ307" s="44"/>
      <c r="CR307" s="44"/>
      <c r="CS307" s="44"/>
      <c r="CT307" s="44"/>
      <c r="CU307" s="44"/>
      <c r="CV307" s="44"/>
      <c r="CW307" s="44"/>
      <c r="CX307" s="44"/>
      <c r="CY307" s="44"/>
      <c r="CZ307" s="44"/>
      <c r="DA307" s="44"/>
      <c r="DB307" s="44"/>
      <c r="DC307" s="44"/>
      <c r="DD307" s="44"/>
      <c r="DE307" s="44"/>
      <c r="DF307" s="44"/>
      <c r="DG307" s="44"/>
      <c r="DH307" s="44"/>
      <c r="DI307" s="44"/>
      <c r="DJ307" s="44"/>
      <c r="DK307" s="44"/>
      <c r="DL307" s="44"/>
      <c r="DM307" s="44"/>
      <c r="DN307" s="44"/>
      <c r="DO307" s="44"/>
      <c r="DP307" s="44"/>
      <c r="DQ307" s="44"/>
      <c r="DR307" s="44"/>
      <c r="DS307" s="44"/>
      <c r="DT307" s="44"/>
      <c r="DU307" s="44"/>
      <c r="DV307" s="44"/>
      <c r="DW307" s="44"/>
      <c r="DX307" s="44"/>
      <c r="DY307" s="44"/>
      <c r="DZ307" s="44"/>
      <c r="EA307" s="44"/>
      <c r="EB307" s="44"/>
      <c r="EC307" s="44"/>
      <c r="ED307" s="44"/>
      <c r="EE307" s="44"/>
      <c r="EF307" s="44"/>
      <c r="EG307" s="44"/>
      <c r="EH307" s="44"/>
      <c r="EI307" s="44"/>
      <c r="EJ307" s="44"/>
      <c r="EK307" s="44"/>
      <c r="EL307" s="44"/>
      <c r="EM307" s="44"/>
      <c r="EN307" s="44"/>
      <c r="EO307" s="44"/>
      <c r="EP307" s="44"/>
    </row>
    <row r="308"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"/>
      <c r="BN308" s="4"/>
      <c r="BO308" s="44"/>
      <c r="BP308" s="44"/>
      <c r="BQ308" s="44"/>
      <c r="BR308" s="44"/>
      <c r="BS308" s="44"/>
      <c r="BT308" s="44"/>
      <c r="BU308" s="44"/>
      <c r="BV308" s="44"/>
      <c r="BW308" s="44"/>
      <c r="BX308" s="44"/>
      <c r="BY308" s="44"/>
      <c r="BZ308" s="44"/>
      <c r="CA308" s="44"/>
      <c r="CB308" s="44"/>
      <c r="CC308" s="44"/>
      <c r="CD308" s="44"/>
      <c r="CE308" s="44"/>
      <c r="CF308" s="44"/>
      <c r="CG308" s="44"/>
      <c r="CH308" s="44"/>
      <c r="CI308" s="44"/>
      <c r="CJ308" s="44"/>
      <c r="CK308" s="44"/>
      <c r="CL308" s="44"/>
      <c r="CM308" s="44"/>
      <c r="CN308" s="44"/>
      <c r="CO308" s="44"/>
      <c r="CP308" s="44"/>
      <c r="CQ308" s="44"/>
      <c r="CR308" s="44"/>
      <c r="CS308" s="44"/>
      <c r="CT308" s="44"/>
      <c r="CU308" s="44"/>
      <c r="CV308" s="44"/>
      <c r="CW308" s="44"/>
      <c r="CX308" s="44"/>
      <c r="CY308" s="44"/>
      <c r="CZ308" s="44"/>
      <c r="DA308" s="44"/>
      <c r="DB308" s="44"/>
      <c r="DC308" s="44"/>
      <c r="DD308" s="44"/>
      <c r="DE308" s="44"/>
      <c r="DF308" s="44"/>
      <c r="DG308" s="44"/>
      <c r="DH308" s="44"/>
      <c r="DI308" s="44"/>
      <c r="DJ308" s="44"/>
      <c r="DK308" s="44"/>
      <c r="DL308" s="44"/>
      <c r="DM308" s="44"/>
      <c r="DN308" s="44"/>
      <c r="DO308" s="44"/>
      <c r="DP308" s="44"/>
      <c r="DQ308" s="44"/>
      <c r="DR308" s="44"/>
      <c r="DS308" s="44"/>
      <c r="DT308" s="44"/>
      <c r="DU308" s="44"/>
      <c r="DV308" s="44"/>
      <c r="DW308" s="44"/>
      <c r="DX308" s="44"/>
      <c r="DY308" s="44"/>
      <c r="DZ308" s="44"/>
      <c r="EA308" s="44"/>
      <c r="EB308" s="44"/>
      <c r="EC308" s="44"/>
      <c r="ED308" s="44"/>
      <c r="EE308" s="44"/>
      <c r="EF308" s="44"/>
      <c r="EG308" s="44"/>
      <c r="EH308" s="44"/>
      <c r="EI308" s="44"/>
      <c r="EJ308" s="44"/>
      <c r="EK308" s="44"/>
      <c r="EL308" s="44"/>
      <c r="EM308" s="44"/>
      <c r="EN308" s="44"/>
      <c r="EO308" s="44"/>
      <c r="EP308" s="44"/>
    </row>
    <row r="309"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"/>
      <c r="BN309" s="4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44"/>
      <c r="CB309" s="44"/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  <c r="CM309" s="44"/>
      <c r="CN309" s="44"/>
      <c r="CO309" s="44"/>
      <c r="CP309" s="44"/>
      <c r="CQ309" s="44"/>
      <c r="CR309" s="44"/>
      <c r="CS309" s="44"/>
      <c r="CT309" s="44"/>
      <c r="CU309" s="44"/>
      <c r="CV309" s="44"/>
      <c r="CW309" s="44"/>
      <c r="CX309" s="44"/>
      <c r="CY309" s="44"/>
      <c r="CZ309" s="44"/>
      <c r="DA309" s="44"/>
      <c r="DB309" s="44"/>
      <c r="DC309" s="44"/>
      <c r="DD309" s="44"/>
      <c r="DE309" s="44"/>
      <c r="DF309" s="44"/>
      <c r="DG309" s="44"/>
      <c r="DH309" s="44"/>
      <c r="DI309" s="44"/>
      <c r="DJ309" s="44"/>
      <c r="DK309" s="44"/>
      <c r="DL309" s="44"/>
      <c r="DM309" s="44"/>
      <c r="DN309" s="44"/>
      <c r="DO309" s="44"/>
      <c r="DP309" s="44"/>
      <c r="DQ309" s="44"/>
      <c r="DR309" s="44"/>
      <c r="DS309" s="44"/>
      <c r="DT309" s="44"/>
      <c r="DU309" s="44"/>
      <c r="DV309" s="44"/>
      <c r="DW309" s="44"/>
      <c r="DX309" s="44"/>
      <c r="DY309" s="44"/>
      <c r="DZ309" s="44"/>
      <c r="EA309" s="44"/>
      <c r="EB309" s="44"/>
      <c r="EC309" s="44"/>
      <c r="ED309" s="44"/>
      <c r="EE309" s="44"/>
      <c r="EF309" s="44"/>
      <c r="EG309" s="44"/>
      <c r="EH309" s="44"/>
      <c r="EI309" s="44"/>
      <c r="EJ309" s="44"/>
      <c r="EK309" s="44"/>
      <c r="EL309" s="44"/>
      <c r="EM309" s="44"/>
      <c r="EN309" s="44"/>
      <c r="EO309" s="44"/>
      <c r="EP309" s="44"/>
    </row>
    <row r="310"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"/>
      <c r="BN310" s="4"/>
      <c r="BO310" s="44"/>
      <c r="BP310" s="44"/>
      <c r="BQ310" s="44"/>
      <c r="BR310" s="44"/>
      <c r="BS310" s="44"/>
      <c r="BT310" s="44"/>
      <c r="BU310" s="44"/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/>
      <c r="CP310" s="44"/>
      <c r="CQ310" s="44"/>
      <c r="CR310" s="44"/>
      <c r="CS310" s="44"/>
      <c r="CT310" s="44"/>
      <c r="CU310" s="44"/>
      <c r="CV310" s="44"/>
      <c r="CW310" s="44"/>
      <c r="CX310" s="44"/>
      <c r="CY310" s="44"/>
      <c r="CZ310" s="44"/>
      <c r="DA310" s="44"/>
      <c r="DB310" s="44"/>
      <c r="DC310" s="44"/>
      <c r="DD310" s="44"/>
      <c r="DE310" s="44"/>
      <c r="DF310" s="44"/>
      <c r="DG310" s="44"/>
      <c r="DH310" s="44"/>
      <c r="DI310" s="44"/>
      <c r="DJ310" s="44"/>
      <c r="DK310" s="44"/>
      <c r="DL310" s="44"/>
      <c r="DM310" s="44"/>
      <c r="DN310" s="44"/>
      <c r="DO310" s="44"/>
      <c r="DP310" s="44"/>
      <c r="DQ310" s="44"/>
      <c r="DR310" s="44"/>
      <c r="DS310" s="44"/>
      <c r="DT310" s="44"/>
      <c r="DU310" s="44"/>
      <c r="DV310" s="44"/>
      <c r="DW310" s="44"/>
      <c r="DX310" s="44"/>
      <c r="DY310" s="44"/>
      <c r="DZ310" s="44"/>
      <c r="EA310" s="44"/>
      <c r="EB310" s="44"/>
      <c r="EC310" s="44"/>
      <c r="ED310" s="44"/>
      <c r="EE310" s="44"/>
      <c r="EF310" s="44"/>
      <c r="EG310" s="44"/>
      <c r="EH310" s="44"/>
      <c r="EI310" s="44"/>
      <c r="EJ310" s="44"/>
      <c r="EK310" s="44"/>
      <c r="EL310" s="44"/>
      <c r="EM310" s="44"/>
      <c r="EN310" s="44"/>
      <c r="EO310" s="44"/>
      <c r="EP310" s="44"/>
    </row>
    <row r="311"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"/>
      <c r="BN311" s="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44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  <c r="DK311" s="44"/>
      <c r="DL311" s="44"/>
      <c r="DM311" s="44"/>
      <c r="DN311" s="44"/>
      <c r="DO311" s="44"/>
      <c r="DP311" s="44"/>
      <c r="DQ311" s="44"/>
      <c r="DR311" s="44"/>
      <c r="DS311" s="44"/>
      <c r="DT311" s="44"/>
      <c r="DU311" s="44"/>
      <c r="DV311" s="44"/>
      <c r="DW311" s="44"/>
      <c r="DX311" s="44"/>
      <c r="DY311" s="44"/>
      <c r="DZ311" s="44"/>
      <c r="EA311" s="44"/>
      <c r="EB311" s="44"/>
      <c r="EC311" s="44"/>
      <c r="ED311" s="44"/>
      <c r="EE311" s="44"/>
      <c r="EF311" s="44"/>
      <c r="EG311" s="44"/>
      <c r="EH311" s="44"/>
      <c r="EI311" s="44"/>
      <c r="EJ311" s="44"/>
      <c r="EK311" s="44"/>
      <c r="EL311" s="44"/>
      <c r="EM311" s="44"/>
      <c r="EN311" s="44"/>
      <c r="EO311" s="44"/>
      <c r="EP311" s="44"/>
    </row>
    <row r="312"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"/>
      <c r="BN312" s="4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  <c r="CM312" s="44"/>
      <c r="CN312" s="44"/>
      <c r="CO312" s="44"/>
      <c r="CP312" s="44"/>
      <c r="CQ312" s="44"/>
      <c r="CR312" s="44"/>
      <c r="CS312" s="44"/>
      <c r="CT312" s="44"/>
      <c r="CU312" s="44"/>
      <c r="CV312" s="44"/>
      <c r="CW312" s="44"/>
      <c r="CX312" s="44"/>
      <c r="CY312" s="44"/>
      <c r="CZ312" s="44"/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  <c r="DK312" s="44"/>
      <c r="DL312" s="44"/>
      <c r="DM312" s="44"/>
      <c r="DN312" s="44"/>
      <c r="DO312" s="44"/>
      <c r="DP312" s="44"/>
      <c r="DQ312" s="44"/>
      <c r="DR312" s="44"/>
      <c r="DS312" s="44"/>
      <c r="DT312" s="44"/>
      <c r="DU312" s="44"/>
      <c r="DV312" s="44"/>
      <c r="DW312" s="44"/>
      <c r="DX312" s="44"/>
      <c r="DY312" s="44"/>
      <c r="DZ312" s="44"/>
      <c r="EA312" s="44"/>
      <c r="EB312" s="44"/>
      <c r="EC312" s="44"/>
      <c r="ED312" s="44"/>
      <c r="EE312" s="44"/>
      <c r="EF312" s="44"/>
      <c r="EG312" s="44"/>
      <c r="EH312" s="44"/>
      <c r="EI312" s="44"/>
      <c r="EJ312" s="44"/>
      <c r="EK312" s="44"/>
      <c r="EL312" s="44"/>
      <c r="EM312" s="44"/>
      <c r="EN312" s="44"/>
      <c r="EO312" s="44"/>
      <c r="EP312" s="44"/>
    </row>
    <row r="313"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"/>
      <c r="BN313" s="4"/>
      <c r="BO313" s="44"/>
      <c r="BP313" s="44"/>
      <c r="BQ313" s="44"/>
      <c r="BR313" s="44"/>
      <c r="BS313" s="44"/>
      <c r="BT313" s="44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44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  <c r="DK313" s="44"/>
      <c r="DL313" s="44"/>
      <c r="DM313" s="44"/>
      <c r="DN313" s="44"/>
      <c r="DO313" s="44"/>
      <c r="DP313" s="44"/>
      <c r="DQ313" s="44"/>
      <c r="DR313" s="44"/>
      <c r="DS313" s="44"/>
      <c r="DT313" s="44"/>
      <c r="DU313" s="44"/>
      <c r="DV313" s="44"/>
      <c r="DW313" s="44"/>
      <c r="DX313" s="44"/>
      <c r="DY313" s="44"/>
      <c r="DZ313" s="44"/>
      <c r="EA313" s="44"/>
      <c r="EB313" s="44"/>
      <c r="EC313" s="44"/>
      <c r="ED313" s="44"/>
      <c r="EE313" s="44"/>
      <c r="EF313" s="44"/>
      <c r="EG313" s="44"/>
      <c r="EH313" s="44"/>
      <c r="EI313" s="44"/>
      <c r="EJ313" s="44"/>
      <c r="EK313" s="44"/>
      <c r="EL313" s="44"/>
      <c r="EM313" s="44"/>
      <c r="EN313" s="44"/>
      <c r="EO313" s="44"/>
      <c r="EP313" s="44"/>
    </row>
    <row r="314"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"/>
      <c r="BN314" s="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44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  <c r="DK314" s="44"/>
      <c r="DL314" s="44"/>
      <c r="DM314" s="44"/>
      <c r="DN314" s="44"/>
      <c r="DO314" s="44"/>
      <c r="DP314" s="44"/>
      <c r="DQ314" s="44"/>
      <c r="DR314" s="44"/>
      <c r="DS314" s="44"/>
      <c r="DT314" s="44"/>
      <c r="DU314" s="44"/>
      <c r="DV314" s="44"/>
      <c r="DW314" s="44"/>
      <c r="DX314" s="44"/>
      <c r="DY314" s="44"/>
      <c r="DZ314" s="44"/>
      <c r="EA314" s="44"/>
      <c r="EB314" s="44"/>
      <c r="EC314" s="44"/>
      <c r="ED314" s="44"/>
      <c r="EE314" s="44"/>
      <c r="EF314" s="44"/>
      <c r="EG314" s="44"/>
      <c r="EH314" s="44"/>
      <c r="EI314" s="44"/>
      <c r="EJ314" s="44"/>
      <c r="EK314" s="44"/>
      <c r="EL314" s="44"/>
      <c r="EM314" s="44"/>
      <c r="EN314" s="44"/>
      <c r="EO314" s="44"/>
      <c r="EP314" s="44"/>
    </row>
    <row r="315"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"/>
      <c r="BN315" s="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44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  <c r="DK315" s="44"/>
      <c r="DL315" s="44"/>
      <c r="DM315" s="44"/>
      <c r="DN315" s="44"/>
      <c r="DO315" s="44"/>
      <c r="DP315" s="44"/>
      <c r="DQ315" s="44"/>
      <c r="DR315" s="44"/>
      <c r="DS315" s="44"/>
      <c r="DT315" s="44"/>
      <c r="DU315" s="44"/>
      <c r="DV315" s="44"/>
      <c r="DW315" s="44"/>
      <c r="DX315" s="44"/>
      <c r="DY315" s="44"/>
      <c r="DZ315" s="44"/>
      <c r="EA315" s="44"/>
      <c r="EB315" s="44"/>
      <c r="EC315" s="44"/>
      <c r="ED315" s="44"/>
      <c r="EE315" s="44"/>
      <c r="EF315" s="44"/>
      <c r="EG315" s="44"/>
      <c r="EH315" s="44"/>
      <c r="EI315" s="44"/>
      <c r="EJ315" s="44"/>
      <c r="EK315" s="44"/>
      <c r="EL315" s="44"/>
      <c r="EM315" s="44"/>
      <c r="EN315" s="44"/>
      <c r="EO315" s="44"/>
      <c r="EP315" s="44"/>
    </row>
    <row r="316"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"/>
      <c r="BN316" s="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44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  <c r="DK316" s="44"/>
      <c r="DL316" s="44"/>
      <c r="DM316" s="44"/>
      <c r="DN316" s="44"/>
      <c r="DO316" s="44"/>
      <c r="DP316" s="44"/>
      <c r="DQ316" s="44"/>
      <c r="DR316" s="44"/>
      <c r="DS316" s="44"/>
      <c r="DT316" s="44"/>
      <c r="DU316" s="44"/>
      <c r="DV316" s="44"/>
      <c r="DW316" s="44"/>
      <c r="DX316" s="44"/>
      <c r="DY316" s="44"/>
      <c r="DZ316" s="44"/>
      <c r="EA316" s="44"/>
      <c r="EB316" s="44"/>
      <c r="EC316" s="44"/>
      <c r="ED316" s="44"/>
      <c r="EE316" s="44"/>
      <c r="EF316" s="44"/>
      <c r="EG316" s="44"/>
      <c r="EH316" s="44"/>
      <c r="EI316" s="44"/>
      <c r="EJ316" s="44"/>
      <c r="EK316" s="44"/>
      <c r="EL316" s="44"/>
      <c r="EM316" s="44"/>
      <c r="EN316" s="44"/>
      <c r="EO316" s="44"/>
      <c r="EP316" s="44"/>
    </row>
    <row r="317"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"/>
      <c r="BN317" s="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44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  <c r="DK317" s="44"/>
      <c r="DL317" s="44"/>
      <c r="DM317" s="44"/>
      <c r="DN317" s="44"/>
      <c r="DO317" s="44"/>
      <c r="DP317" s="44"/>
      <c r="DQ317" s="44"/>
      <c r="DR317" s="44"/>
      <c r="DS317" s="44"/>
      <c r="DT317" s="44"/>
      <c r="DU317" s="44"/>
      <c r="DV317" s="44"/>
      <c r="DW317" s="44"/>
      <c r="DX317" s="44"/>
      <c r="DY317" s="44"/>
      <c r="DZ317" s="44"/>
      <c r="EA317" s="44"/>
      <c r="EB317" s="44"/>
      <c r="EC317" s="44"/>
      <c r="ED317" s="44"/>
      <c r="EE317" s="44"/>
      <c r="EF317" s="44"/>
      <c r="EG317" s="44"/>
      <c r="EH317" s="44"/>
      <c r="EI317" s="44"/>
      <c r="EJ317" s="44"/>
      <c r="EK317" s="44"/>
      <c r="EL317" s="44"/>
      <c r="EM317" s="44"/>
      <c r="EN317" s="44"/>
      <c r="EO317" s="44"/>
      <c r="EP317" s="44"/>
    </row>
    <row r="318"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"/>
      <c r="BN318" s="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44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  <c r="DK318" s="44"/>
      <c r="DL318" s="44"/>
      <c r="DM318" s="44"/>
      <c r="DN318" s="44"/>
      <c r="DO318" s="44"/>
      <c r="DP318" s="44"/>
      <c r="DQ318" s="44"/>
      <c r="DR318" s="44"/>
      <c r="DS318" s="44"/>
      <c r="DT318" s="44"/>
      <c r="DU318" s="44"/>
      <c r="DV318" s="44"/>
      <c r="DW318" s="44"/>
      <c r="DX318" s="44"/>
      <c r="DY318" s="44"/>
      <c r="DZ318" s="44"/>
      <c r="EA318" s="44"/>
      <c r="EB318" s="44"/>
      <c r="EC318" s="44"/>
      <c r="ED318" s="44"/>
      <c r="EE318" s="44"/>
      <c r="EF318" s="44"/>
      <c r="EG318" s="44"/>
      <c r="EH318" s="44"/>
      <c r="EI318" s="44"/>
      <c r="EJ318" s="44"/>
      <c r="EK318" s="44"/>
      <c r="EL318" s="44"/>
      <c r="EM318" s="44"/>
      <c r="EN318" s="44"/>
      <c r="EO318" s="44"/>
      <c r="EP318" s="44"/>
    </row>
    <row r="319"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"/>
      <c r="BN319" s="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44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  <c r="DK319" s="44"/>
      <c r="DL319" s="44"/>
      <c r="DM319" s="44"/>
      <c r="DN319" s="44"/>
      <c r="DO319" s="44"/>
      <c r="DP319" s="44"/>
      <c r="DQ319" s="44"/>
      <c r="DR319" s="44"/>
      <c r="DS319" s="44"/>
      <c r="DT319" s="44"/>
      <c r="DU319" s="44"/>
      <c r="DV319" s="44"/>
      <c r="DW319" s="44"/>
      <c r="DX319" s="44"/>
      <c r="DY319" s="44"/>
      <c r="DZ319" s="44"/>
      <c r="EA319" s="44"/>
      <c r="EB319" s="44"/>
      <c r="EC319" s="44"/>
      <c r="ED319" s="44"/>
      <c r="EE319" s="44"/>
      <c r="EF319" s="44"/>
      <c r="EG319" s="44"/>
      <c r="EH319" s="44"/>
      <c r="EI319" s="44"/>
      <c r="EJ319" s="44"/>
      <c r="EK319" s="44"/>
      <c r="EL319" s="44"/>
      <c r="EM319" s="44"/>
      <c r="EN319" s="44"/>
      <c r="EO319" s="44"/>
      <c r="EP319" s="44"/>
    </row>
    <row r="320"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"/>
      <c r="BN320" s="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44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  <c r="DK320" s="44"/>
      <c r="DL320" s="44"/>
      <c r="DM320" s="44"/>
      <c r="DN320" s="44"/>
      <c r="DO320" s="44"/>
      <c r="DP320" s="44"/>
      <c r="DQ320" s="44"/>
      <c r="DR320" s="44"/>
      <c r="DS320" s="44"/>
      <c r="DT320" s="44"/>
      <c r="DU320" s="44"/>
      <c r="DV320" s="44"/>
      <c r="DW320" s="44"/>
      <c r="DX320" s="44"/>
      <c r="DY320" s="44"/>
      <c r="DZ320" s="44"/>
      <c r="EA320" s="44"/>
      <c r="EB320" s="44"/>
      <c r="EC320" s="44"/>
      <c r="ED320" s="44"/>
      <c r="EE320" s="44"/>
      <c r="EF320" s="44"/>
      <c r="EG320" s="44"/>
      <c r="EH320" s="44"/>
      <c r="EI320" s="44"/>
      <c r="EJ320" s="44"/>
      <c r="EK320" s="44"/>
      <c r="EL320" s="44"/>
      <c r="EM320" s="44"/>
      <c r="EN320" s="44"/>
      <c r="EO320" s="44"/>
      <c r="EP320" s="44"/>
    </row>
    <row r="321"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"/>
      <c r="BN321" s="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44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  <c r="DK321" s="44"/>
      <c r="DL321" s="44"/>
      <c r="DM321" s="44"/>
      <c r="DN321" s="44"/>
      <c r="DO321" s="44"/>
      <c r="DP321" s="44"/>
      <c r="DQ321" s="44"/>
      <c r="DR321" s="44"/>
      <c r="DS321" s="44"/>
      <c r="DT321" s="44"/>
      <c r="DU321" s="44"/>
      <c r="DV321" s="44"/>
      <c r="DW321" s="44"/>
      <c r="DX321" s="44"/>
      <c r="DY321" s="44"/>
      <c r="DZ321" s="44"/>
      <c r="EA321" s="44"/>
      <c r="EB321" s="44"/>
      <c r="EC321" s="44"/>
      <c r="ED321" s="44"/>
      <c r="EE321" s="44"/>
      <c r="EF321" s="44"/>
      <c r="EG321" s="44"/>
      <c r="EH321" s="44"/>
      <c r="EI321" s="44"/>
      <c r="EJ321" s="44"/>
      <c r="EK321" s="44"/>
      <c r="EL321" s="44"/>
      <c r="EM321" s="44"/>
      <c r="EN321" s="44"/>
      <c r="EO321" s="44"/>
      <c r="EP321" s="44"/>
    </row>
    <row r="322"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"/>
      <c r="BN322" s="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44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  <c r="DK322" s="44"/>
      <c r="DL322" s="44"/>
      <c r="DM322" s="44"/>
      <c r="DN322" s="44"/>
      <c r="DO322" s="44"/>
      <c r="DP322" s="44"/>
      <c r="DQ322" s="44"/>
      <c r="DR322" s="44"/>
      <c r="DS322" s="44"/>
      <c r="DT322" s="44"/>
      <c r="DU322" s="44"/>
      <c r="DV322" s="44"/>
      <c r="DW322" s="44"/>
      <c r="DX322" s="44"/>
      <c r="DY322" s="44"/>
      <c r="DZ322" s="44"/>
      <c r="EA322" s="44"/>
      <c r="EB322" s="44"/>
      <c r="EC322" s="44"/>
      <c r="ED322" s="44"/>
      <c r="EE322" s="44"/>
      <c r="EF322" s="44"/>
      <c r="EG322" s="44"/>
      <c r="EH322" s="44"/>
      <c r="EI322" s="44"/>
      <c r="EJ322" s="44"/>
      <c r="EK322" s="44"/>
      <c r="EL322" s="44"/>
      <c r="EM322" s="44"/>
      <c r="EN322" s="44"/>
      <c r="EO322" s="44"/>
      <c r="EP322" s="44"/>
    </row>
    <row r="323"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"/>
      <c r="BN323" s="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44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  <c r="DK323" s="44"/>
      <c r="DL323" s="44"/>
      <c r="DM323" s="44"/>
      <c r="DN323" s="44"/>
      <c r="DO323" s="44"/>
      <c r="DP323" s="44"/>
      <c r="DQ323" s="44"/>
      <c r="DR323" s="44"/>
      <c r="DS323" s="44"/>
      <c r="DT323" s="44"/>
      <c r="DU323" s="44"/>
      <c r="DV323" s="44"/>
      <c r="DW323" s="44"/>
      <c r="DX323" s="44"/>
      <c r="DY323" s="44"/>
      <c r="DZ323" s="44"/>
      <c r="EA323" s="44"/>
      <c r="EB323" s="44"/>
      <c r="EC323" s="44"/>
      <c r="ED323" s="44"/>
      <c r="EE323" s="44"/>
      <c r="EF323" s="44"/>
      <c r="EG323" s="44"/>
      <c r="EH323" s="44"/>
      <c r="EI323" s="44"/>
      <c r="EJ323" s="44"/>
      <c r="EK323" s="44"/>
      <c r="EL323" s="44"/>
      <c r="EM323" s="44"/>
      <c r="EN323" s="44"/>
      <c r="EO323" s="44"/>
      <c r="EP323" s="44"/>
    </row>
    <row r="324"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"/>
      <c r="BN324" s="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  <c r="CQ324" s="44"/>
      <c r="CR324" s="44"/>
      <c r="CS324" s="44"/>
      <c r="CT324" s="44"/>
      <c r="CU324" s="44"/>
      <c r="CV324" s="44"/>
      <c r="CW324" s="44"/>
      <c r="CX324" s="44"/>
      <c r="CY324" s="44"/>
      <c r="CZ324" s="44"/>
      <c r="DA324" s="44"/>
      <c r="DB324" s="44"/>
      <c r="DC324" s="44"/>
      <c r="DD324" s="44"/>
      <c r="DE324" s="44"/>
      <c r="DF324" s="44"/>
      <c r="DG324" s="44"/>
      <c r="DH324" s="44"/>
      <c r="DI324" s="44"/>
      <c r="DJ324" s="44"/>
      <c r="DK324" s="44"/>
      <c r="DL324" s="44"/>
      <c r="DM324" s="44"/>
      <c r="DN324" s="44"/>
      <c r="DO324" s="44"/>
      <c r="DP324" s="44"/>
      <c r="DQ324" s="44"/>
      <c r="DR324" s="44"/>
      <c r="DS324" s="44"/>
      <c r="DT324" s="44"/>
      <c r="DU324" s="44"/>
      <c r="DV324" s="44"/>
      <c r="DW324" s="44"/>
      <c r="DX324" s="44"/>
      <c r="DY324" s="44"/>
      <c r="DZ324" s="44"/>
      <c r="EA324" s="44"/>
      <c r="EB324" s="44"/>
      <c r="EC324" s="44"/>
      <c r="ED324" s="44"/>
      <c r="EE324" s="44"/>
      <c r="EF324" s="44"/>
      <c r="EG324" s="44"/>
      <c r="EH324" s="44"/>
      <c r="EI324" s="44"/>
      <c r="EJ324" s="44"/>
      <c r="EK324" s="44"/>
      <c r="EL324" s="44"/>
      <c r="EM324" s="44"/>
      <c r="EN324" s="44"/>
      <c r="EO324" s="44"/>
      <c r="EP324" s="44"/>
    </row>
    <row r="325"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"/>
      <c r="BN325" s="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  <c r="CB325" s="44"/>
      <c r="CC325" s="44"/>
      <c r="CD325" s="44"/>
      <c r="CE325" s="44"/>
      <c r="CF325" s="44"/>
      <c r="CG325" s="44"/>
      <c r="CH325" s="44"/>
      <c r="CI325" s="44"/>
      <c r="CJ325" s="44"/>
      <c r="CK325" s="44"/>
      <c r="CL325" s="44"/>
      <c r="CM325" s="44"/>
      <c r="CN325" s="44"/>
      <c r="CO325" s="44"/>
      <c r="CP325" s="44"/>
      <c r="CQ325" s="44"/>
      <c r="CR325" s="44"/>
      <c r="CS325" s="44"/>
      <c r="CT325" s="44"/>
      <c r="CU325" s="44"/>
      <c r="CV325" s="44"/>
      <c r="CW325" s="44"/>
      <c r="CX325" s="44"/>
      <c r="CY325" s="44"/>
      <c r="CZ325" s="44"/>
      <c r="DA325" s="44"/>
      <c r="DB325" s="44"/>
      <c r="DC325" s="44"/>
      <c r="DD325" s="44"/>
      <c r="DE325" s="44"/>
      <c r="DF325" s="44"/>
      <c r="DG325" s="44"/>
      <c r="DH325" s="44"/>
      <c r="DI325" s="44"/>
      <c r="DJ325" s="44"/>
      <c r="DK325" s="44"/>
      <c r="DL325" s="44"/>
      <c r="DM325" s="44"/>
      <c r="DN325" s="44"/>
      <c r="DO325" s="44"/>
      <c r="DP325" s="44"/>
      <c r="DQ325" s="44"/>
      <c r="DR325" s="44"/>
      <c r="DS325" s="44"/>
      <c r="DT325" s="44"/>
      <c r="DU325" s="44"/>
      <c r="DV325" s="44"/>
      <c r="DW325" s="44"/>
      <c r="DX325" s="44"/>
      <c r="DY325" s="44"/>
      <c r="DZ325" s="44"/>
      <c r="EA325" s="44"/>
      <c r="EB325" s="44"/>
      <c r="EC325" s="44"/>
      <c r="ED325" s="44"/>
      <c r="EE325" s="44"/>
      <c r="EF325" s="44"/>
      <c r="EG325" s="44"/>
      <c r="EH325" s="44"/>
      <c r="EI325" s="44"/>
      <c r="EJ325" s="44"/>
      <c r="EK325" s="44"/>
      <c r="EL325" s="44"/>
      <c r="EM325" s="44"/>
      <c r="EN325" s="44"/>
      <c r="EO325" s="44"/>
      <c r="EP325" s="44"/>
    </row>
    <row r="326"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"/>
      <c r="BN326" s="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  <c r="CQ326" s="44"/>
      <c r="CR326" s="44"/>
      <c r="CS326" s="44"/>
      <c r="CT326" s="44"/>
      <c r="CU326" s="44"/>
      <c r="CV326" s="44"/>
      <c r="CW326" s="44"/>
      <c r="CX326" s="44"/>
      <c r="CY326" s="44"/>
      <c r="CZ326" s="44"/>
      <c r="DA326" s="44"/>
      <c r="DB326" s="44"/>
      <c r="DC326" s="44"/>
      <c r="DD326" s="44"/>
      <c r="DE326" s="44"/>
      <c r="DF326" s="44"/>
      <c r="DG326" s="44"/>
      <c r="DH326" s="44"/>
      <c r="DI326" s="44"/>
      <c r="DJ326" s="44"/>
      <c r="DK326" s="44"/>
      <c r="DL326" s="44"/>
      <c r="DM326" s="44"/>
      <c r="DN326" s="44"/>
      <c r="DO326" s="44"/>
      <c r="DP326" s="44"/>
      <c r="DQ326" s="44"/>
      <c r="DR326" s="44"/>
      <c r="DS326" s="44"/>
      <c r="DT326" s="44"/>
      <c r="DU326" s="44"/>
      <c r="DV326" s="44"/>
      <c r="DW326" s="44"/>
      <c r="DX326" s="44"/>
      <c r="DY326" s="44"/>
      <c r="DZ326" s="44"/>
      <c r="EA326" s="44"/>
      <c r="EB326" s="44"/>
      <c r="EC326" s="44"/>
      <c r="ED326" s="44"/>
      <c r="EE326" s="44"/>
      <c r="EF326" s="44"/>
      <c r="EG326" s="44"/>
      <c r="EH326" s="44"/>
      <c r="EI326" s="44"/>
      <c r="EJ326" s="44"/>
      <c r="EK326" s="44"/>
      <c r="EL326" s="44"/>
      <c r="EM326" s="44"/>
      <c r="EN326" s="44"/>
      <c r="EO326" s="44"/>
      <c r="EP326" s="44"/>
    </row>
    <row r="327"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"/>
      <c r="BN327" s="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44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  <c r="DK327" s="44"/>
      <c r="DL327" s="44"/>
      <c r="DM327" s="44"/>
      <c r="DN327" s="44"/>
      <c r="DO327" s="44"/>
      <c r="DP327" s="44"/>
      <c r="DQ327" s="44"/>
      <c r="DR327" s="44"/>
      <c r="DS327" s="44"/>
      <c r="DT327" s="44"/>
      <c r="DU327" s="44"/>
      <c r="DV327" s="44"/>
      <c r="DW327" s="44"/>
      <c r="DX327" s="44"/>
      <c r="DY327" s="44"/>
      <c r="DZ327" s="44"/>
      <c r="EA327" s="44"/>
      <c r="EB327" s="44"/>
      <c r="EC327" s="44"/>
      <c r="ED327" s="44"/>
      <c r="EE327" s="44"/>
      <c r="EF327" s="44"/>
      <c r="EG327" s="44"/>
      <c r="EH327" s="44"/>
      <c r="EI327" s="44"/>
      <c r="EJ327" s="44"/>
      <c r="EK327" s="44"/>
      <c r="EL327" s="44"/>
      <c r="EM327" s="44"/>
      <c r="EN327" s="44"/>
      <c r="EO327" s="44"/>
      <c r="EP327" s="44"/>
    </row>
    <row r="328"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"/>
      <c r="BN328" s="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  <c r="CB328" s="44"/>
      <c r="CC328" s="44"/>
      <c r="CD328" s="44"/>
      <c r="CE328" s="44"/>
      <c r="CF328" s="44"/>
      <c r="CG328" s="44"/>
      <c r="CH328" s="44"/>
      <c r="CI328" s="44"/>
      <c r="CJ328" s="44"/>
      <c r="CK328" s="44"/>
      <c r="CL328" s="44"/>
      <c r="CM328" s="44"/>
      <c r="CN328" s="44"/>
      <c r="CO328" s="44"/>
      <c r="CP328" s="44"/>
      <c r="CQ328" s="44"/>
      <c r="CR328" s="44"/>
      <c r="CS328" s="44"/>
      <c r="CT328" s="44"/>
      <c r="CU328" s="44"/>
      <c r="CV328" s="44"/>
      <c r="CW328" s="44"/>
      <c r="CX328" s="44"/>
      <c r="CY328" s="44"/>
      <c r="CZ328" s="44"/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  <c r="DK328" s="44"/>
      <c r="DL328" s="44"/>
      <c r="DM328" s="44"/>
      <c r="DN328" s="44"/>
      <c r="DO328" s="44"/>
      <c r="DP328" s="44"/>
      <c r="DQ328" s="44"/>
      <c r="DR328" s="44"/>
      <c r="DS328" s="44"/>
      <c r="DT328" s="44"/>
      <c r="DU328" s="44"/>
      <c r="DV328" s="44"/>
      <c r="DW328" s="44"/>
      <c r="DX328" s="44"/>
      <c r="DY328" s="44"/>
      <c r="DZ328" s="44"/>
      <c r="EA328" s="44"/>
      <c r="EB328" s="44"/>
      <c r="EC328" s="44"/>
      <c r="ED328" s="44"/>
      <c r="EE328" s="44"/>
      <c r="EF328" s="44"/>
      <c r="EG328" s="44"/>
      <c r="EH328" s="44"/>
      <c r="EI328" s="44"/>
      <c r="EJ328" s="44"/>
      <c r="EK328" s="44"/>
      <c r="EL328" s="44"/>
      <c r="EM328" s="44"/>
      <c r="EN328" s="44"/>
      <c r="EO328" s="44"/>
      <c r="EP328" s="44"/>
    </row>
    <row r="329"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"/>
      <c r="BN329" s="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44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  <c r="DK329" s="44"/>
      <c r="DL329" s="44"/>
      <c r="DM329" s="44"/>
      <c r="DN329" s="44"/>
      <c r="DO329" s="44"/>
      <c r="DP329" s="44"/>
      <c r="DQ329" s="44"/>
      <c r="DR329" s="44"/>
      <c r="DS329" s="44"/>
      <c r="DT329" s="44"/>
      <c r="DU329" s="44"/>
      <c r="DV329" s="44"/>
      <c r="DW329" s="44"/>
      <c r="DX329" s="44"/>
      <c r="DY329" s="44"/>
      <c r="DZ329" s="44"/>
      <c r="EA329" s="44"/>
      <c r="EB329" s="44"/>
      <c r="EC329" s="44"/>
      <c r="ED329" s="44"/>
      <c r="EE329" s="44"/>
      <c r="EF329" s="44"/>
      <c r="EG329" s="44"/>
      <c r="EH329" s="44"/>
      <c r="EI329" s="44"/>
      <c r="EJ329" s="44"/>
      <c r="EK329" s="44"/>
      <c r="EL329" s="44"/>
      <c r="EM329" s="44"/>
      <c r="EN329" s="44"/>
      <c r="EO329" s="44"/>
      <c r="EP329" s="44"/>
    </row>
    <row r="330"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"/>
      <c r="BN330" s="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44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  <c r="DK330" s="44"/>
      <c r="DL330" s="44"/>
      <c r="DM330" s="44"/>
      <c r="DN330" s="44"/>
      <c r="DO330" s="44"/>
      <c r="DP330" s="44"/>
      <c r="DQ330" s="44"/>
      <c r="DR330" s="44"/>
      <c r="DS330" s="44"/>
      <c r="DT330" s="44"/>
      <c r="DU330" s="44"/>
      <c r="DV330" s="44"/>
      <c r="DW330" s="44"/>
      <c r="DX330" s="44"/>
      <c r="DY330" s="44"/>
      <c r="DZ330" s="44"/>
      <c r="EA330" s="44"/>
      <c r="EB330" s="44"/>
      <c r="EC330" s="44"/>
      <c r="ED330" s="44"/>
      <c r="EE330" s="44"/>
      <c r="EF330" s="44"/>
      <c r="EG330" s="44"/>
      <c r="EH330" s="44"/>
      <c r="EI330" s="44"/>
      <c r="EJ330" s="44"/>
      <c r="EK330" s="44"/>
      <c r="EL330" s="44"/>
      <c r="EM330" s="44"/>
      <c r="EN330" s="44"/>
      <c r="EO330" s="44"/>
      <c r="EP330" s="44"/>
    </row>
    <row r="331"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"/>
      <c r="BN331" s="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44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  <c r="DK331" s="44"/>
      <c r="DL331" s="44"/>
      <c r="DM331" s="44"/>
      <c r="DN331" s="44"/>
      <c r="DO331" s="44"/>
      <c r="DP331" s="44"/>
      <c r="DQ331" s="44"/>
      <c r="DR331" s="44"/>
      <c r="DS331" s="44"/>
      <c r="DT331" s="44"/>
      <c r="DU331" s="44"/>
      <c r="DV331" s="44"/>
      <c r="DW331" s="44"/>
      <c r="DX331" s="44"/>
      <c r="DY331" s="44"/>
      <c r="DZ331" s="44"/>
      <c r="EA331" s="44"/>
      <c r="EB331" s="44"/>
      <c r="EC331" s="44"/>
      <c r="ED331" s="44"/>
      <c r="EE331" s="44"/>
      <c r="EF331" s="44"/>
      <c r="EG331" s="44"/>
      <c r="EH331" s="44"/>
      <c r="EI331" s="44"/>
      <c r="EJ331" s="44"/>
      <c r="EK331" s="44"/>
      <c r="EL331" s="44"/>
      <c r="EM331" s="44"/>
      <c r="EN331" s="44"/>
      <c r="EO331" s="44"/>
      <c r="EP331" s="44"/>
    </row>
    <row r="332"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"/>
      <c r="BN332" s="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44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  <c r="DK332" s="44"/>
      <c r="DL332" s="44"/>
      <c r="DM332" s="44"/>
      <c r="DN332" s="44"/>
      <c r="DO332" s="44"/>
      <c r="DP332" s="44"/>
      <c r="DQ332" s="44"/>
      <c r="DR332" s="44"/>
      <c r="DS332" s="44"/>
      <c r="DT332" s="44"/>
      <c r="DU332" s="44"/>
      <c r="DV332" s="44"/>
      <c r="DW332" s="44"/>
      <c r="DX332" s="44"/>
      <c r="DY332" s="44"/>
      <c r="DZ332" s="44"/>
      <c r="EA332" s="44"/>
      <c r="EB332" s="44"/>
      <c r="EC332" s="44"/>
      <c r="ED332" s="44"/>
      <c r="EE332" s="44"/>
      <c r="EF332" s="44"/>
      <c r="EG332" s="44"/>
      <c r="EH332" s="44"/>
      <c r="EI332" s="44"/>
      <c r="EJ332" s="44"/>
      <c r="EK332" s="44"/>
      <c r="EL332" s="44"/>
      <c r="EM332" s="44"/>
      <c r="EN332" s="44"/>
      <c r="EO332" s="44"/>
      <c r="EP332" s="44"/>
    </row>
    <row r="333"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"/>
      <c r="BN333" s="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44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  <c r="DK333" s="44"/>
      <c r="DL333" s="44"/>
      <c r="DM333" s="44"/>
      <c r="DN333" s="44"/>
      <c r="DO333" s="44"/>
      <c r="DP333" s="44"/>
      <c r="DQ333" s="44"/>
      <c r="DR333" s="44"/>
      <c r="DS333" s="44"/>
      <c r="DT333" s="44"/>
      <c r="DU333" s="44"/>
      <c r="DV333" s="44"/>
      <c r="DW333" s="44"/>
      <c r="DX333" s="44"/>
      <c r="DY333" s="44"/>
      <c r="DZ333" s="44"/>
      <c r="EA333" s="44"/>
      <c r="EB333" s="44"/>
      <c r="EC333" s="44"/>
      <c r="ED333" s="44"/>
      <c r="EE333" s="44"/>
      <c r="EF333" s="44"/>
      <c r="EG333" s="44"/>
      <c r="EH333" s="44"/>
      <c r="EI333" s="44"/>
      <c r="EJ333" s="44"/>
      <c r="EK333" s="44"/>
      <c r="EL333" s="44"/>
      <c r="EM333" s="44"/>
      <c r="EN333" s="44"/>
      <c r="EO333" s="44"/>
      <c r="EP333" s="44"/>
    </row>
    <row r="334"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"/>
      <c r="BN334" s="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44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  <c r="DK334" s="44"/>
      <c r="DL334" s="44"/>
      <c r="DM334" s="44"/>
      <c r="DN334" s="44"/>
      <c r="DO334" s="44"/>
      <c r="DP334" s="44"/>
      <c r="DQ334" s="44"/>
      <c r="DR334" s="44"/>
      <c r="DS334" s="44"/>
      <c r="DT334" s="44"/>
      <c r="DU334" s="44"/>
      <c r="DV334" s="44"/>
      <c r="DW334" s="44"/>
      <c r="DX334" s="44"/>
      <c r="DY334" s="44"/>
      <c r="DZ334" s="44"/>
      <c r="EA334" s="44"/>
      <c r="EB334" s="44"/>
      <c r="EC334" s="44"/>
      <c r="ED334" s="44"/>
      <c r="EE334" s="44"/>
      <c r="EF334" s="44"/>
      <c r="EG334" s="44"/>
      <c r="EH334" s="44"/>
      <c r="EI334" s="44"/>
      <c r="EJ334" s="44"/>
      <c r="EK334" s="44"/>
      <c r="EL334" s="44"/>
      <c r="EM334" s="44"/>
      <c r="EN334" s="44"/>
      <c r="EO334" s="44"/>
      <c r="EP334" s="44"/>
    </row>
  </sheetData>
  <protectedRanges>
    <protectedRange name="Rango13_1" sqref="J36:AO36 J6:AO10 J11 L11:AO11 J12:AO13 J14 L14:AO14 J15:AO15 J16:K16 N16:AO16 J17:K17 N17:AO17 J18:M18 X18:AO18 J19:M19 P19:AO19 J20:S20 X20:AO20 J21:AO21 J22:AO22 J23:M23 Y23:AO23 J24:M24 X24:AO24 J25:AO25 J26:AO30 J31:AO35"/>
    <protectedRange name="Rango14" sqref="AS6:AT14 AS15:AT36"/>
    <protectedRange name="Rango13_1_1" sqref="K11"/>
    <protectedRange name="Rango13_1_2" sqref="K14"/>
    <protectedRange name="Rango13_1_3" sqref="L16"/>
    <protectedRange name="Rango13_1_4" sqref="M16"/>
    <protectedRange name="Rango13_1_5" sqref="L17"/>
    <protectedRange name="Rango13_1_6" sqref="M17"/>
    <protectedRange name="Rango13_1_7" sqref="N18"/>
    <protectedRange name="Rango13_1_8" sqref="N19"/>
    <protectedRange name="Rango13_1_9" sqref="T20"/>
    <protectedRange name="Rango13_1_10" sqref="N24"/>
    <protectedRange name="Rango13_1_11" sqref="N23"/>
    <protectedRange name="Rango13_1_12" sqref="S23"/>
    <protectedRange name="Rango13_1_13" sqref="T23"/>
    <protectedRange name="Rango13_1_14" sqref="U23"/>
    <protectedRange name="Rango13_1_15" sqref="V23"/>
    <protectedRange name="Rango13_1_16" sqref="W23"/>
    <protectedRange name="Rango13_1_17" sqref="X23"/>
  </protectedRanges>
  <mergeCells count="41">
    <mergeCell ref="A6:A7"/>
    <mergeCell ref="B6:B7"/>
    <mergeCell ref="E6:F6"/>
    <mergeCell ref="H6:H7"/>
    <mergeCell ref="AP6:AR6"/>
    <mergeCell ref="AS6:AS7"/>
    <mergeCell ref="AT6:AT7"/>
    <mergeCell ref="P7:Q7"/>
    <mergeCell ref="U7:V7"/>
    <mergeCell ref="AE7:AF7"/>
    <mergeCell ref="AN7:AO7"/>
    <mergeCell ref="A8:A14"/>
    <mergeCell ref="B15:C15"/>
    <mergeCell ref="A16:A21"/>
    <mergeCell ref="B22:C22"/>
    <mergeCell ref="J22:AT22"/>
    <mergeCell ref="A23:A25"/>
    <mergeCell ref="B26:C26"/>
    <mergeCell ref="A27:A30"/>
    <mergeCell ref="B31:C31"/>
    <mergeCell ref="A32:A35"/>
    <mergeCell ref="B36:C36"/>
    <mergeCell ref="A37:B37"/>
    <mergeCell ref="E37:H37"/>
    <mergeCell ref="P37:Q37"/>
    <mergeCell ref="U37:V37"/>
    <mergeCell ref="AE37:AF37"/>
    <mergeCell ref="AN37:AO37"/>
    <mergeCell ref="A38:B39"/>
    <mergeCell ref="C38:C39"/>
    <mergeCell ref="E38:H38"/>
    <mergeCell ref="P38:Q38"/>
    <mergeCell ref="U38:V38"/>
    <mergeCell ref="AE38:AF38"/>
    <mergeCell ref="AN38:AO38"/>
    <mergeCell ref="E39:H39"/>
    <mergeCell ref="P39:Q39"/>
    <mergeCell ref="U39:V39"/>
    <mergeCell ref="AE39:AF39"/>
    <mergeCell ref="AN39:AO39"/>
    <mergeCell ref="E40:H4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43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equal" id="{00190034-00F9-4CB2-9D7A-0074008D00CE}">
            <xm:f>"OK"</xm:f>
            <x14:dxf>
              <font>
                <b/>
                <i val="0"/>
              </font>
              <fill>
                <patternFill patternType="solid">
                  <fgColor indexed="2"/>
                  <bgColor indexed="2"/>
                </patternFill>
              </fill>
            </x14:dxf>
          </x14:cfRule>
          <xm:sqref>J36:N36 P36:S36 J36:AO36 O36 T36</xm:sqref>
        </x14:conditionalFormatting>
        <x14:conditionalFormatting xmlns:xm="http://schemas.microsoft.com/office/excel/2006/main">
          <x14:cfRule type="cellIs" priority="3" operator="equal" stopIfTrue="1" id="{00940096-00FB-4057-B7F0-0044004400CC}">
            <xm:f>"P"</xm:f>
            <x14:dxf>
              <font>
                <b/>
                <i val="0"/>
              </font>
              <fill>
                <patternFill patternType="solid">
                  <fgColor indexed="2"/>
                  <bgColor indexed="2"/>
                </patternFill>
              </fill>
            </x14:dxf>
          </x14:cfRule>
          <xm:sqref>J36:N36 P36:S36 J36:AO36 O36 T36</xm:sqref>
        </x14:conditionalFormatting>
        <x14:conditionalFormatting xmlns:xm="http://schemas.microsoft.com/office/excel/2006/main">
          <x14:cfRule type="cellIs" priority="2" operator="equal" stopIfTrue="1" id="{00CD0020-0043-4BAD-B45F-00F200FF0070}">
            <xm:f>"OK"</xm:f>
            <x14:dxf>
              <font>
                <b/>
                <i val="0"/>
              </font>
              <fill>
                <patternFill patternType="solid">
                  <fgColor rgb="FF009900"/>
                  <bgColor rgb="FF009900"/>
                </patternFill>
              </fill>
            </x14:dxf>
          </x14:cfRule>
          <xm:sqref>J36:N36 P36:S36 J36:AO36 O36 T36</xm:sqref>
        </x14:conditionalFormatting>
        <x14:conditionalFormatting xmlns:xm="http://schemas.microsoft.com/office/excel/2006/main">
          <x14:cfRule type="cellIs" priority="1" operator="equal" stopIfTrue="1" id="{000500AA-00CA-4E37-AC64-000D008A00E0}">
            <xm:f>"A"</xm:f>
            <x14:dxf>
              <font>
                <b/>
                <i val="0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J36:N36 P36:S36 J36:AO36 O36 T36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82aabd-12cd-410d-94fe-f28e246a8ea2">
      <Terms xmlns="http://schemas.microsoft.com/office/infopath/2007/PartnerControls"/>
    </lcf76f155ced4ddcb4097134ff3c332f>
    <TaxCatchAll xmlns="7b1fdd54-cd64-4d13-8330-6383a1a8c81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5D5E90BF276E4E87ED70768C9169B3" ma:contentTypeVersion="12" ma:contentTypeDescription="Create a new document." ma:contentTypeScope="" ma:versionID="f0535d205ac12e4ac772bf0a2d245b2f">
  <xsd:schema xmlns:xsd="http://www.w3.org/2001/XMLSchema" xmlns:xs="http://www.w3.org/2001/XMLSchema" xmlns:p="http://schemas.microsoft.com/office/2006/metadata/properties" xmlns:ns2="e782aabd-12cd-410d-94fe-f28e246a8ea2" xmlns:ns3="7b1fdd54-cd64-4d13-8330-6383a1a8c81d" targetNamespace="http://schemas.microsoft.com/office/2006/metadata/properties" ma:root="true" ma:fieldsID="79ba1ee7fda0c1cf8bcb1a4d1862ad92" ns2:_="" ns3:_="">
    <xsd:import namespace="e782aabd-12cd-410d-94fe-f28e246a8ea2"/>
    <xsd:import namespace="7b1fdd54-cd64-4d13-8330-6383a1a8c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2aabd-12cd-410d-94fe-f28e246a8e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fc4a821-427f-4434-ab47-02b0b42151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fdd54-cd64-4d13-8330-6383a1a8c81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99bdef2-6614-48ee-839f-5b80f69ea45e}" ma:internalName="TaxCatchAll" ma:showField="CatchAllData" ma:web="7b1fdd54-cd64-4d13-8330-6383a1a8c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3770C-7747-4D45-952C-8799AD9C3D6A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db7e29b6-fa20-40a5-9d8c-7f3035afb39c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10D6154-E1F0-4F93-A20F-25E36EE5C6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B39A9-FF25-402C-9747-CD1D1F0E3FF6}"/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Elias Martínez Arias</dc:creator>
  <cp:keywords/>
  <dc:description/>
  <cp:revision>3</cp:revision>
  <dcterms:created xsi:type="dcterms:W3CDTF">2012-03-30T01:34:49Z</dcterms:created>
  <dcterms:modified xsi:type="dcterms:W3CDTF">2025-09-19T21:49:52Z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0x0101009E5D5E90BF276E4E87ED70768C9169B3</vt:lpwstr>
  </property>
  <property fmtid="{D5CDD505-2E9C-101B-9397-08002B2CF9AE}" pid="3" name="Order">
    <vt:r8>800.000000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